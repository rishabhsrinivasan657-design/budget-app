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<sst xmlns="http://schemas.openxmlformats.org/spreadsheetml/2006/main" count="548" uniqueCount="133">
  <si>
    <t>Date</t>
  </si>
  <si>
    <t>Category</t>
  </si>
  <si>
    <t>Description</t>
  </si>
  <si>
    <t>Type (Income/Expense)</t>
  </si>
  <si>
    <t>Amount</t>
  </si>
  <si>
    <t>Month</t>
  </si>
  <si>
    <t>Rent</t>
  </si>
  <si>
    <t>Security Deposit</t>
  </si>
  <si>
    <t>Expense</t>
  </si>
  <si>
    <t>Electronics</t>
  </si>
  <si>
    <t>Mint</t>
  </si>
  <si>
    <t>Groceries</t>
  </si>
  <si>
    <t>Lidl</t>
  </si>
  <si>
    <t>Patel Brothers</t>
  </si>
  <si>
    <t>Wifi</t>
  </si>
  <si>
    <t>Transport</t>
  </si>
  <si>
    <t>Uber</t>
  </si>
  <si>
    <t>Walmart</t>
  </si>
  <si>
    <t>Cleaning</t>
  </si>
  <si>
    <t>Amazon</t>
  </si>
  <si>
    <t>Costco</t>
  </si>
  <si>
    <t>Furniture</t>
  </si>
  <si>
    <t>Doordash</t>
  </si>
  <si>
    <t>Food</t>
  </si>
  <si>
    <t>Chipotle</t>
  </si>
  <si>
    <t>Apple</t>
  </si>
  <si>
    <t>Apple Care</t>
  </si>
  <si>
    <t>Travel</t>
  </si>
  <si>
    <t>Uber+Lyft</t>
  </si>
  <si>
    <t>Wharf Lunch</t>
  </si>
  <si>
    <t>Extender</t>
  </si>
  <si>
    <t>Clothing</t>
  </si>
  <si>
    <t>Macy Hoodie</t>
  </si>
  <si>
    <t>Costco Supplies</t>
  </si>
  <si>
    <t>Hall Table</t>
  </si>
  <si>
    <t>Lidl Supplies</t>
  </si>
  <si>
    <t>Patel Bros</t>
  </si>
  <si>
    <t>Pizza at Home</t>
  </si>
  <si>
    <t>Anna Trip</t>
  </si>
  <si>
    <t>Yber/Lyft</t>
  </si>
  <si>
    <t>Garba</t>
  </si>
  <si>
    <t>Movie+ Popcorn</t>
  </si>
  <si>
    <t>Lidl Tomatoes</t>
  </si>
  <si>
    <t>Grocereies</t>
  </si>
  <si>
    <t>Renters Insurance</t>
  </si>
  <si>
    <t>Doordash Pass</t>
  </si>
  <si>
    <t>Patels</t>
  </si>
  <si>
    <t>Wee</t>
  </si>
  <si>
    <t>Rent for September</t>
  </si>
  <si>
    <t>Anna Food</t>
  </si>
  <si>
    <t>Asia Cup Pizza</t>
  </si>
  <si>
    <t>TV</t>
  </si>
  <si>
    <t>Expenses</t>
  </si>
  <si>
    <t>Monthly Xfinity</t>
  </si>
  <si>
    <t>Burlington</t>
  </si>
  <si>
    <t>Anarkali</t>
  </si>
  <si>
    <t>Water Jug</t>
  </si>
  <si>
    <t>Trader Joes</t>
  </si>
  <si>
    <t>CVS</t>
  </si>
  <si>
    <t>Electricty</t>
  </si>
  <si>
    <t>Fun</t>
  </si>
  <si>
    <t>Diwali Party</t>
  </si>
  <si>
    <t>Breakfast</t>
  </si>
  <si>
    <t xml:space="preserve">Expense </t>
  </si>
  <si>
    <t>Costco Travel</t>
  </si>
  <si>
    <t>Cereals</t>
  </si>
  <si>
    <t>Gloves</t>
  </si>
  <si>
    <t>Electricty-Sept</t>
  </si>
  <si>
    <t>DC</t>
  </si>
  <si>
    <t>Book Harvard</t>
  </si>
  <si>
    <t>Madhur Bday</t>
  </si>
  <si>
    <t>Greenbelt to Home</t>
  </si>
  <si>
    <t>Cleaning Cloth</t>
  </si>
  <si>
    <t>PS5</t>
  </si>
  <si>
    <t>Jacket</t>
  </si>
  <si>
    <t>Virginia</t>
  </si>
  <si>
    <t>Electricty-Oct</t>
  </si>
  <si>
    <t>Amazon+Cabs</t>
  </si>
  <si>
    <t>Bharat Hoodie</t>
  </si>
  <si>
    <t>Nandu Shoes</t>
  </si>
  <si>
    <t>Ramya  Product</t>
  </si>
  <si>
    <t>Kushal Lunch</t>
  </si>
  <si>
    <t xml:space="preserve">Halal Cart </t>
  </si>
  <si>
    <t>Smores</t>
  </si>
  <si>
    <t>Lid</t>
  </si>
  <si>
    <t>Water</t>
  </si>
  <si>
    <t>Toothpaste</t>
  </si>
  <si>
    <t>After Exam partyy</t>
  </si>
  <si>
    <t xml:space="preserve">Fun </t>
  </si>
  <si>
    <t>Actual After Exam DC</t>
  </si>
  <si>
    <t>DC with RoomateFriends</t>
  </si>
  <si>
    <t>Muffin</t>
  </si>
  <si>
    <t>Metro to DC</t>
  </si>
  <si>
    <t>Subway to Grand Central</t>
  </si>
  <si>
    <t>ColdSpring</t>
  </si>
  <si>
    <t>Bagels</t>
  </si>
  <si>
    <t>Astoria</t>
  </si>
  <si>
    <t>Subway to Hudson</t>
  </si>
  <si>
    <t>Subway to Bryant</t>
  </si>
  <si>
    <t>Food at Bryant</t>
  </si>
  <si>
    <t>NYC</t>
  </si>
  <si>
    <t>Subway to Staten</t>
  </si>
  <si>
    <t>Subway to DUMBO</t>
  </si>
  <si>
    <t>Subway to TS</t>
  </si>
  <si>
    <t>1$ Pizzza</t>
  </si>
  <si>
    <t>Cab to Edge</t>
  </si>
  <si>
    <t>The Edge</t>
  </si>
  <si>
    <t>Subway to Rock</t>
  </si>
  <si>
    <t>Unexpected Food</t>
  </si>
  <si>
    <t>Magnets</t>
  </si>
  <si>
    <t>Fiasco Travels</t>
  </si>
  <si>
    <t xml:space="preserve">Transport </t>
  </si>
  <si>
    <t>Newark</t>
  </si>
  <si>
    <t>Fries at Airport</t>
  </si>
  <si>
    <t>Airport to Home</t>
  </si>
  <si>
    <t>Prime</t>
  </si>
  <si>
    <t>ChatGPT API</t>
  </si>
  <si>
    <t>Halal Cart</t>
  </si>
  <si>
    <t>Baltimore</t>
  </si>
  <si>
    <t>Cake+Ramen bday</t>
  </si>
  <si>
    <t>Badhri Gift</t>
  </si>
  <si>
    <t>Induction+Swiss</t>
  </si>
  <si>
    <t>Electricity</t>
  </si>
  <si>
    <t>TJs</t>
  </si>
  <si>
    <t>Onions in TJ</t>
  </si>
  <si>
    <t>Gift</t>
  </si>
  <si>
    <t>Tjs</t>
  </si>
  <si>
    <t>Cab+Temple Prasad</t>
  </si>
  <si>
    <t>Atharv</t>
  </si>
  <si>
    <t>Cab from Patels</t>
  </si>
  <si>
    <t>Selected Month</t>
  </si>
  <si>
    <t>February</t>
  </si>
  <si>
    <t>Total Expense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</si>
</sst>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&quot;/&quot;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4" xfId="0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CE8B2"/>
          <bgColor rgb="FFFCE8B2"/>
        </patternFill>
      </fill>
      <border/>
    </dxf>
  </dxfs>
  <tableStyles count="1">
    <tableStyle count="4" pivot="0" name="Transac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Split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Dashboard!$B$3</c:f>
            </c:strRef>
          </c:tx>
          <c:dPt>
            <c:idx val="0"/>
            <c:spPr>
              <a:solidFill>
                <a:srgbClr val="4285F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Dashboard!$A$4:$A$12</c:f>
            </c:strRef>
          </c:cat>
          <c:val>
            <c:numRef>
              <c:f>Dashboard!$B$4:$B$12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4</xdr:row>
      <xdr:rowOff>104775</xdr:rowOff>
    </xdr:from>
    <xdr:ext cx="5715000" cy="3533775"/>
    <xdr:pic>
      <xdr:nvPicPr>
        <xdr:cNvPr id="13506821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676275</xdr:colOff>
      <xdr:row>0</xdr:row>
      <xdr:rowOff>0</xdr:rowOff>
    </xdr:from>
    <xdr:ext cx="5715000" cy="44386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86" displayName="Table1" name="Table1" id="1">
  <tableColumns count="6">
    <tableColumn name="Date" id="1"/>
    <tableColumn name="Category" id="2"/>
    <tableColumn name="Description" id="3"/>
    <tableColumn name="Type (Income/Expense)" id="4"/>
    <tableColumn name="Amount" id="5"/>
    <tableColumn name="Month" id="6"/>
  </tableColumns>
  <tableStyleInfo name="Transa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88"/>
    <col customWidth="1" min="4" max="4" width="23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>
        <v>45880.0</v>
      </c>
      <c r="B2" s="5" t="s">
        <v>6</v>
      </c>
      <c r="C2" s="5" t="s">
        <v>7</v>
      </c>
      <c r="D2" s="5" t="s">
        <v>8</v>
      </c>
      <c r="E2" s="5">
        <v>774.0</v>
      </c>
      <c r="F2" s="6" t="str">
        <f t="shared" ref="F2:F23" si="1">TEXT(A2,"MMMM")</f>
        <v>August</v>
      </c>
    </row>
    <row r="3" ht="22.5" customHeight="1">
      <c r="A3" s="4">
        <v>45881.0</v>
      </c>
      <c r="B3" s="5" t="s">
        <v>9</v>
      </c>
      <c r="C3" s="5" t="s">
        <v>10</v>
      </c>
      <c r="D3" s="5" t="s">
        <v>8</v>
      </c>
      <c r="E3" s="5">
        <v>209.68</v>
      </c>
      <c r="F3" s="6" t="str">
        <f t="shared" si="1"/>
        <v>August</v>
      </c>
    </row>
    <row r="4" ht="22.5" customHeight="1">
      <c r="A4" s="4">
        <v>45883.0</v>
      </c>
      <c r="B4" s="5" t="s">
        <v>11</v>
      </c>
      <c r="C4" s="5" t="s">
        <v>12</v>
      </c>
      <c r="D4" s="5" t="s">
        <v>8</v>
      </c>
      <c r="E4" s="5">
        <v>25.0</v>
      </c>
      <c r="F4" s="6" t="str">
        <f t="shared" si="1"/>
        <v>August</v>
      </c>
    </row>
    <row r="5" ht="22.5" customHeight="1">
      <c r="A5" s="4">
        <v>45885.0</v>
      </c>
      <c r="B5" s="7" t="s">
        <v>11</v>
      </c>
      <c r="C5" s="7" t="s">
        <v>13</v>
      </c>
      <c r="D5" s="7" t="s">
        <v>8</v>
      </c>
      <c r="E5" s="7">
        <v>22.91</v>
      </c>
      <c r="F5" s="6" t="str">
        <f t="shared" si="1"/>
        <v>August</v>
      </c>
    </row>
    <row r="6" ht="22.5" customHeight="1">
      <c r="A6" s="4">
        <v>45885.0</v>
      </c>
      <c r="B6" s="5" t="s">
        <v>9</v>
      </c>
      <c r="C6" s="7" t="s">
        <v>14</v>
      </c>
      <c r="D6" s="7" t="s">
        <v>8</v>
      </c>
      <c r="E6" s="7">
        <v>6.25</v>
      </c>
      <c r="F6" s="6" t="str">
        <f t="shared" si="1"/>
        <v>August</v>
      </c>
    </row>
    <row r="7" ht="22.5" customHeight="1">
      <c r="A7" s="4">
        <v>45885.0</v>
      </c>
      <c r="B7" s="7" t="s">
        <v>15</v>
      </c>
      <c r="C7" s="7" t="s">
        <v>16</v>
      </c>
      <c r="D7" s="7" t="s">
        <v>8</v>
      </c>
      <c r="E7" s="7">
        <v>14.33</v>
      </c>
      <c r="F7" s="6" t="str">
        <f t="shared" si="1"/>
        <v>August</v>
      </c>
    </row>
    <row r="8" ht="22.5" customHeight="1">
      <c r="A8" s="4">
        <v>45886.0</v>
      </c>
      <c r="B8" s="7" t="s">
        <v>11</v>
      </c>
      <c r="C8" s="7" t="s">
        <v>17</v>
      </c>
      <c r="D8" s="7" t="s">
        <v>8</v>
      </c>
      <c r="E8" s="7">
        <v>41.69</v>
      </c>
      <c r="F8" s="6" t="str">
        <f t="shared" si="1"/>
        <v>August</v>
      </c>
    </row>
    <row r="9" ht="22.5" customHeight="1">
      <c r="A9" s="4">
        <v>45886.0</v>
      </c>
      <c r="B9" s="8" t="s">
        <v>11</v>
      </c>
      <c r="C9" s="7" t="s">
        <v>17</v>
      </c>
      <c r="D9" s="7" t="s">
        <v>8</v>
      </c>
      <c r="E9" s="8">
        <v>24.77</v>
      </c>
      <c r="F9" s="6" t="str">
        <f t="shared" si="1"/>
        <v>August</v>
      </c>
    </row>
    <row r="10" ht="22.5" customHeight="1">
      <c r="A10" s="4">
        <v>45887.0</v>
      </c>
      <c r="B10" s="8" t="s">
        <v>11</v>
      </c>
      <c r="C10" s="7" t="s">
        <v>12</v>
      </c>
      <c r="D10" s="7" t="s">
        <v>8</v>
      </c>
      <c r="E10" s="8">
        <v>3.25</v>
      </c>
      <c r="F10" s="6" t="str">
        <f t="shared" si="1"/>
        <v>August</v>
      </c>
    </row>
    <row r="11" ht="22.5" customHeight="1">
      <c r="A11" s="4">
        <v>45887.0</v>
      </c>
      <c r="B11" s="8" t="s">
        <v>11</v>
      </c>
      <c r="C11" s="7" t="s">
        <v>12</v>
      </c>
      <c r="D11" s="8" t="s">
        <v>8</v>
      </c>
      <c r="E11" s="8">
        <v>5.39</v>
      </c>
      <c r="F11" s="6" t="str">
        <f t="shared" si="1"/>
        <v>August</v>
      </c>
    </row>
    <row r="12" ht="22.5" customHeight="1">
      <c r="A12" s="4">
        <v>45888.0</v>
      </c>
      <c r="B12" s="8" t="s">
        <v>18</v>
      </c>
      <c r="C12" s="8" t="s">
        <v>19</v>
      </c>
      <c r="D12" s="8" t="s">
        <v>8</v>
      </c>
      <c r="E12" s="8">
        <v>15.5</v>
      </c>
      <c r="F12" s="6" t="str">
        <f t="shared" si="1"/>
        <v>August</v>
      </c>
    </row>
    <row r="13" ht="22.5" customHeight="1">
      <c r="A13" s="4">
        <v>45890.0</v>
      </c>
      <c r="B13" s="8" t="s">
        <v>11</v>
      </c>
      <c r="C13" s="8" t="s">
        <v>20</v>
      </c>
      <c r="D13" s="8" t="s">
        <v>8</v>
      </c>
      <c r="E13" s="8">
        <v>21.77</v>
      </c>
      <c r="F13" s="6" t="str">
        <f t="shared" si="1"/>
        <v>August</v>
      </c>
    </row>
    <row r="14" ht="22.5" customHeight="1">
      <c r="A14" s="4">
        <v>45892.0</v>
      </c>
      <c r="B14" s="8" t="s">
        <v>11</v>
      </c>
      <c r="C14" s="8" t="s">
        <v>12</v>
      </c>
      <c r="D14" s="8" t="s">
        <v>8</v>
      </c>
      <c r="E14" s="8">
        <v>3.69</v>
      </c>
      <c r="F14" s="6" t="str">
        <f t="shared" si="1"/>
        <v>August</v>
      </c>
    </row>
    <row r="15" ht="22.5" customHeight="1">
      <c r="A15" s="4">
        <v>45893.0</v>
      </c>
      <c r="B15" s="8" t="s">
        <v>21</v>
      </c>
      <c r="C15" s="8" t="s">
        <v>19</v>
      </c>
      <c r="D15" s="8" t="s">
        <v>8</v>
      </c>
      <c r="E15" s="8">
        <v>40.0</v>
      </c>
      <c r="F15" s="6" t="str">
        <f t="shared" si="1"/>
        <v>August</v>
      </c>
    </row>
    <row r="16" ht="22.5" customHeight="1">
      <c r="A16" s="4">
        <v>45894.0</v>
      </c>
      <c r="B16" s="8" t="s">
        <v>11</v>
      </c>
      <c r="C16" s="8" t="s">
        <v>22</v>
      </c>
      <c r="D16" s="8" t="s">
        <v>8</v>
      </c>
      <c r="E16" s="8">
        <v>15.0</v>
      </c>
      <c r="F16" s="6" t="str">
        <f t="shared" si="1"/>
        <v>August</v>
      </c>
    </row>
    <row r="17" ht="22.5" customHeight="1">
      <c r="A17" s="4">
        <v>45899.0</v>
      </c>
      <c r="B17" s="8" t="s">
        <v>23</v>
      </c>
      <c r="C17" s="8" t="s">
        <v>24</v>
      </c>
      <c r="D17" s="8" t="s">
        <v>8</v>
      </c>
      <c r="E17" s="8">
        <v>10.0</v>
      </c>
      <c r="F17" s="6" t="str">
        <f t="shared" si="1"/>
        <v>August</v>
      </c>
    </row>
    <row r="18" ht="22.5" customHeight="1">
      <c r="A18" s="4">
        <v>45899.0</v>
      </c>
      <c r="B18" s="8" t="s">
        <v>9</v>
      </c>
      <c r="C18" s="8" t="s">
        <v>25</v>
      </c>
      <c r="D18" s="8" t="s">
        <v>8</v>
      </c>
      <c r="E18" s="8">
        <v>687.0</v>
      </c>
      <c r="F18" s="6" t="str">
        <f t="shared" si="1"/>
        <v>August</v>
      </c>
    </row>
    <row r="19" ht="22.5" customHeight="1">
      <c r="A19" s="4">
        <v>45899.0</v>
      </c>
      <c r="B19" s="8" t="s">
        <v>9</v>
      </c>
      <c r="C19" s="8" t="s">
        <v>26</v>
      </c>
      <c r="D19" s="8" t="s">
        <v>8</v>
      </c>
      <c r="E19" s="8">
        <v>52.0</v>
      </c>
      <c r="F19" s="6" t="str">
        <f t="shared" si="1"/>
        <v>August</v>
      </c>
    </row>
    <row r="20" ht="22.5" customHeight="1">
      <c r="A20" s="4">
        <v>45899.0</v>
      </c>
      <c r="B20" s="8" t="s">
        <v>27</v>
      </c>
      <c r="C20" s="8" t="s">
        <v>28</v>
      </c>
      <c r="D20" s="8" t="s">
        <v>8</v>
      </c>
      <c r="E20" s="8">
        <v>7.66</v>
      </c>
      <c r="F20" s="6" t="str">
        <f t="shared" si="1"/>
        <v>August</v>
      </c>
    </row>
    <row r="21" ht="22.5" customHeight="1">
      <c r="A21" s="4">
        <v>45899.0</v>
      </c>
      <c r="B21" s="8" t="s">
        <v>23</v>
      </c>
      <c r="C21" s="8" t="s">
        <v>29</v>
      </c>
      <c r="D21" s="8" t="s">
        <v>8</v>
      </c>
      <c r="E21" s="8">
        <v>9.86</v>
      </c>
      <c r="F21" s="6" t="str">
        <f t="shared" si="1"/>
        <v>August</v>
      </c>
    </row>
    <row r="22" ht="22.5" customHeight="1">
      <c r="A22" s="4">
        <v>45900.0</v>
      </c>
      <c r="B22" s="8" t="s">
        <v>9</v>
      </c>
      <c r="C22" s="8" t="s">
        <v>30</v>
      </c>
      <c r="D22" s="8" t="s">
        <v>8</v>
      </c>
      <c r="E22" s="8">
        <v>13.5</v>
      </c>
      <c r="F22" s="6" t="str">
        <f t="shared" si="1"/>
        <v>August</v>
      </c>
    </row>
    <row r="23" ht="22.5" customHeight="1">
      <c r="A23" s="4">
        <v>45900.0</v>
      </c>
      <c r="B23" s="8" t="s">
        <v>11</v>
      </c>
      <c r="C23" s="8" t="s">
        <v>12</v>
      </c>
      <c r="D23" s="8" t="s">
        <v>8</v>
      </c>
      <c r="E23" s="8">
        <v>3.55</v>
      </c>
      <c r="F23" s="6" t="str">
        <f t="shared" si="1"/>
        <v>August</v>
      </c>
    </row>
    <row r="24" ht="22.5" customHeight="1">
      <c r="A24" s="4"/>
      <c r="B24" s="5"/>
      <c r="C24" s="5"/>
      <c r="D24" s="5"/>
      <c r="E24" s="5"/>
      <c r="F24" s="6"/>
    </row>
    <row r="25" ht="22.5" customHeight="1">
      <c r="A25" s="4">
        <v>45901.0</v>
      </c>
      <c r="B25" s="8" t="s">
        <v>31</v>
      </c>
      <c r="C25" s="8" t="s">
        <v>32</v>
      </c>
      <c r="D25" s="8" t="s">
        <v>8</v>
      </c>
      <c r="E25" s="8">
        <v>14.96</v>
      </c>
      <c r="F25" s="6" t="str">
        <f t="shared" ref="F25:F47" si="2">TEXT(A25,"MMMM")</f>
        <v>September</v>
      </c>
    </row>
    <row r="26" ht="22.5" customHeight="1">
      <c r="A26" s="9">
        <v>45902.0</v>
      </c>
      <c r="B26" s="8" t="s">
        <v>11</v>
      </c>
      <c r="C26" s="8" t="s">
        <v>33</v>
      </c>
      <c r="D26" s="8" t="s">
        <v>8</v>
      </c>
      <c r="E26" s="8">
        <v>10.27</v>
      </c>
      <c r="F26" s="6" t="str">
        <f t="shared" si="2"/>
        <v>September</v>
      </c>
    </row>
    <row r="27" ht="22.5" customHeight="1">
      <c r="A27" s="9">
        <v>45903.0</v>
      </c>
      <c r="B27" s="8" t="s">
        <v>21</v>
      </c>
      <c r="C27" s="8" t="s">
        <v>34</v>
      </c>
      <c r="D27" s="8" t="s">
        <v>8</v>
      </c>
      <c r="E27" s="8">
        <v>5.0</v>
      </c>
      <c r="F27" s="6" t="str">
        <f t="shared" si="2"/>
        <v>September</v>
      </c>
    </row>
    <row r="28" ht="22.5" customHeight="1">
      <c r="A28" s="9">
        <v>45905.0</v>
      </c>
      <c r="B28" s="8" t="s">
        <v>9</v>
      </c>
      <c r="C28" s="8" t="s">
        <v>14</v>
      </c>
      <c r="D28" s="8" t="s">
        <v>8</v>
      </c>
      <c r="E28" s="8">
        <v>9.0</v>
      </c>
      <c r="F28" s="6" t="str">
        <f t="shared" si="2"/>
        <v>September</v>
      </c>
    </row>
    <row r="29" ht="22.5" customHeight="1">
      <c r="A29" s="9">
        <v>45905.0</v>
      </c>
      <c r="B29" s="8" t="s">
        <v>11</v>
      </c>
      <c r="C29" s="8" t="s">
        <v>35</v>
      </c>
      <c r="D29" s="8" t="s">
        <v>8</v>
      </c>
      <c r="E29" s="8">
        <v>2.5</v>
      </c>
      <c r="F29" s="6" t="str">
        <f t="shared" si="2"/>
        <v>September</v>
      </c>
    </row>
    <row r="30" ht="22.5" customHeight="1">
      <c r="A30" s="9">
        <v>45906.0</v>
      </c>
      <c r="B30" s="8" t="s">
        <v>11</v>
      </c>
      <c r="C30" s="8" t="s">
        <v>36</v>
      </c>
      <c r="D30" s="8" t="s">
        <v>8</v>
      </c>
      <c r="E30" s="10">
        <f>12.43</f>
        <v>12.43</v>
      </c>
      <c r="F30" s="6" t="str">
        <f t="shared" si="2"/>
        <v>September</v>
      </c>
    </row>
    <row r="31" ht="22.5" customHeight="1">
      <c r="A31" s="9">
        <v>45910.0</v>
      </c>
      <c r="B31" s="8" t="s">
        <v>11</v>
      </c>
      <c r="C31" s="8" t="s">
        <v>35</v>
      </c>
      <c r="D31" s="8" t="s">
        <v>8</v>
      </c>
      <c r="E31" s="10">
        <f>1.33+1.04</f>
        <v>2.37</v>
      </c>
      <c r="F31" s="6" t="str">
        <f t="shared" si="2"/>
        <v>September</v>
      </c>
    </row>
    <row r="32" ht="22.5" customHeight="1">
      <c r="A32" s="9">
        <v>45913.0</v>
      </c>
      <c r="B32" s="8" t="s">
        <v>11</v>
      </c>
      <c r="C32" s="8" t="s">
        <v>33</v>
      </c>
      <c r="D32" s="8" t="s">
        <v>8</v>
      </c>
      <c r="E32" s="8">
        <v>9.69</v>
      </c>
      <c r="F32" s="6" t="str">
        <f t="shared" si="2"/>
        <v>September</v>
      </c>
    </row>
    <row r="33" ht="22.5" customHeight="1">
      <c r="A33" s="9">
        <v>45913.0</v>
      </c>
      <c r="B33" s="8" t="s">
        <v>9</v>
      </c>
      <c r="C33" s="8" t="s">
        <v>17</v>
      </c>
      <c r="D33" s="8" t="s">
        <v>8</v>
      </c>
      <c r="E33" s="8">
        <v>8.03</v>
      </c>
      <c r="F33" s="6" t="str">
        <f t="shared" si="2"/>
        <v>September</v>
      </c>
    </row>
    <row r="34" ht="22.5" customHeight="1">
      <c r="A34" s="9">
        <v>45913.0</v>
      </c>
      <c r="B34" s="8" t="s">
        <v>23</v>
      </c>
      <c r="C34" s="8" t="s">
        <v>37</v>
      </c>
      <c r="D34" s="8" t="s">
        <v>8</v>
      </c>
      <c r="E34" s="8">
        <v>2.93</v>
      </c>
      <c r="F34" s="6" t="str">
        <f t="shared" si="2"/>
        <v>September</v>
      </c>
    </row>
    <row r="35" ht="22.5" customHeight="1">
      <c r="A35" s="9">
        <v>45916.0</v>
      </c>
      <c r="B35" s="8" t="s">
        <v>15</v>
      </c>
      <c r="C35" s="8" t="s">
        <v>38</v>
      </c>
      <c r="D35" s="8" t="s">
        <v>8</v>
      </c>
      <c r="E35" s="8">
        <v>5.0</v>
      </c>
      <c r="F35" s="6" t="str">
        <f t="shared" si="2"/>
        <v>September</v>
      </c>
    </row>
    <row r="36" ht="22.5" customHeight="1">
      <c r="A36" s="9">
        <v>45919.0</v>
      </c>
      <c r="B36" s="8" t="s">
        <v>15</v>
      </c>
      <c r="C36" s="8" t="s">
        <v>39</v>
      </c>
      <c r="D36" s="8" t="s">
        <v>8</v>
      </c>
      <c r="E36" s="8">
        <v>12.0</v>
      </c>
      <c r="F36" s="6" t="str">
        <f t="shared" si="2"/>
        <v>September</v>
      </c>
    </row>
    <row r="37" ht="22.5" customHeight="1">
      <c r="A37" s="9">
        <v>45919.0</v>
      </c>
      <c r="B37" s="8" t="s">
        <v>23</v>
      </c>
      <c r="C37" s="8" t="s">
        <v>40</v>
      </c>
      <c r="D37" s="8" t="s">
        <v>8</v>
      </c>
      <c r="E37" s="8">
        <v>12.0</v>
      </c>
      <c r="F37" s="6" t="str">
        <f t="shared" si="2"/>
        <v>September</v>
      </c>
    </row>
    <row r="38" ht="22.5" customHeight="1">
      <c r="A38" s="9">
        <v>45927.0</v>
      </c>
      <c r="B38" s="8" t="s">
        <v>15</v>
      </c>
      <c r="C38" s="8" t="s">
        <v>41</v>
      </c>
      <c r="D38" s="8" t="s">
        <v>8</v>
      </c>
      <c r="E38" s="8">
        <f>11.4+4</f>
        <v>15.4</v>
      </c>
      <c r="F38" s="6" t="str">
        <f t="shared" si="2"/>
        <v>September</v>
      </c>
    </row>
    <row r="39" ht="22.5" customHeight="1">
      <c r="A39" s="9">
        <v>45926.0</v>
      </c>
      <c r="B39" s="8" t="s">
        <v>11</v>
      </c>
      <c r="C39" s="8" t="s">
        <v>42</v>
      </c>
      <c r="D39" s="8" t="s">
        <v>8</v>
      </c>
      <c r="E39" s="8">
        <v>0.82</v>
      </c>
      <c r="F39" s="6" t="str">
        <f t="shared" si="2"/>
        <v>September</v>
      </c>
    </row>
    <row r="40" ht="22.5" customHeight="1">
      <c r="A40" s="9">
        <v>45915.0</v>
      </c>
      <c r="B40" s="8" t="s">
        <v>43</v>
      </c>
      <c r="C40" s="8" t="s">
        <v>35</v>
      </c>
      <c r="D40" s="8" t="s">
        <v>8</v>
      </c>
      <c r="E40" s="8">
        <v>2.89</v>
      </c>
      <c r="F40" s="6" t="str">
        <f t="shared" si="2"/>
        <v>September</v>
      </c>
    </row>
    <row r="41" ht="22.5" customHeight="1">
      <c r="A41" s="9">
        <v>45916.0</v>
      </c>
      <c r="B41" s="8" t="s">
        <v>6</v>
      </c>
      <c r="C41" s="8" t="s">
        <v>44</v>
      </c>
      <c r="D41" s="8" t="s">
        <v>8</v>
      </c>
      <c r="E41" s="8">
        <v>3.12</v>
      </c>
      <c r="F41" s="6" t="str">
        <f t="shared" si="2"/>
        <v>September</v>
      </c>
    </row>
    <row r="42" ht="22.5" customHeight="1">
      <c r="A42" s="9">
        <v>45918.0</v>
      </c>
      <c r="B42" s="8" t="s">
        <v>23</v>
      </c>
      <c r="C42" s="8" t="s">
        <v>45</v>
      </c>
      <c r="D42" s="8" t="s">
        <v>8</v>
      </c>
      <c r="E42" s="8">
        <v>2.5</v>
      </c>
      <c r="F42" s="6" t="str">
        <f t="shared" si="2"/>
        <v>September</v>
      </c>
    </row>
    <row r="43" ht="22.5" customHeight="1">
      <c r="A43" s="9">
        <v>45920.0</v>
      </c>
      <c r="B43" s="8" t="s">
        <v>11</v>
      </c>
      <c r="C43" s="8" t="s">
        <v>35</v>
      </c>
      <c r="D43" s="8" t="s">
        <v>8</v>
      </c>
      <c r="E43" s="8">
        <f>6.2+3.86</f>
        <v>10.06</v>
      </c>
      <c r="F43" s="6" t="str">
        <f t="shared" si="2"/>
        <v>September</v>
      </c>
    </row>
    <row r="44" ht="22.5" customHeight="1">
      <c r="A44" s="9">
        <v>45925.0</v>
      </c>
      <c r="B44" s="8" t="s">
        <v>11</v>
      </c>
      <c r="C44" s="8" t="s">
        <v>33</v>
      </c>
      <c r="D44" s="8" t="s">
        <v>8</v>
      </c>
      <c r="E44" s="8">
        <v>6.92</v>
      </c>
      <c r="F44" s="6" t="str">
        <f t="shared" si="2"/>
        <v>September</v>
      </c>
    </row>
    <row r="45" ht="22.5" customHeight="1">
      <c r="A45" s="9">
        <v>45929.0</v>
      </c>
      <c r="B45" s="8" t="s">
        <v>11</v>
      </c>
      <c r="C45" s="8" t="s">
        <v>46</v>
      </c>
      <c r="D45" s="8" t="s">
        <v>8</v>
      </c>
      <c r="E45" s="8">
        <v>19.41</v>
      </c>
      <c r="F45" s="6" t="str">
        <f t="shared" si="2"/>
        <v>September</v>
      </c>
    </row>
    <row r="46" ht="22.5" customHeight="1">
      <c r="A46" s="9">
        <v>45929.0</v>
      </c>
      <c r="B46" s="8" t="s">
        <v>11</v>
      </c>
      <c r="C46" s="8" t="s">
        <v>47</v>
      </c>
      <c r="D46" s="8" t="s">
        <v>8</v>
      </c>
      <c r="E46" s="8">
        <v>8.31</v>
      </c>
      <c r="F46" s="6" t="str">
        <f t="shared" si="2"/>
        <v>September</v>
      </c>
    </row>
    <row r="47" ht="22.5" customHeight="1">
      <c r="A47" s="9">
        <v>45929.0</v>
      </c>
      <c r="B47" s="8" t="s">
        <v>6</v>
      </c>
      <c r="C47" s="8" t="s">
        <v>48</v>
      </c>
      <c r="D47" s="8" t="s">
        <v>8</v>
      </c>
      <c r="E47" s="8">
        <v>779.5</v>
      </c>
      <c r="F47" s="6" t="str">
        <f t="shared" si="2"/>
        <v>September</v>
      </c>
    </row>
    <row r="48" ht="22.5" customHeight="1">
      <c r="A48" s="11"/>
      <c r="B48" s="10"/>
      <c r="C48" s="10"/>
      <c r="D48" s="10"/>
      <c r="E48" s="10"/>
      <c r="F48" s="6"/>
    </row>
    <row r="49" ht="22.5" customHeight="1">
      <c r="A49" s="9">
        <v>45931.0</v>
      </c>
      <c r="B49" s="8" t="s">
        <v>23</v>
      </c>
      <c r="C49" s="8" t="s">
        <v>49</v>
      </c>
      <c r="D49" s="8" t="s">
        <v>8</v>
      </c>
      <c r="E49" s="8">
        <v>16.95</v>
      </c>
      <c r="F49" s="6" t="str">
        <f t="shared" ref="F49:F122" si="3">TEXT(A49,"MMMM")</f>
        <v>October</v>
      </c>
    </row>
    <row r="50" ht="22.5" customHeight="1">
      <c r="A50" s="9">
        <v>45931.0</v>
      </c>
      <c r="B50" s="8" t="s">
        <v>23</v>
      </c>
      <c r="C50" s="8" t="s">
        <v>50</v>
      </c>
      <c r="D50" s="8" t="s">
        <v>8</v>
      </c>
      <c r="E50" s="8">
        <v>3.53</v>
      </c>
      <c r="F50" s="6" t="str">
        <f t="shared" si="3"/>
        <v>October</v>
      </c>
    </row>
    <row r="51" ht="22.5" customHeight="1">
      <c r="A51" s="9">
        <v>45931.0</v>
      </c>
      <c r="B51" s="8" t="s">
        <v>11</v>
      </c>
      <c r="C51" s="8" t="s">
        <v>20</v>
      </c>
      <c r="D51" s="8" t="s">
        <v>8</v>
      </c>
      <c r="E51" s="8">
        <v>8.47</v>
      </c>
      <c r="F51" s="6" t="str">
        <f t="shared" si="3"/>
        <v>October</v>
      </c>
    </row>
    <row r="52" ht="22.5" customHeight="1">
      <c r="A52" s="9">
        <v>45932.0</v>
      </c>
      <c r="B52" s="8" t="s">
        <v>11</v>
      </c>
      <c r="C52" s="8" t="s">
        <v>12</v>
      </c>
      <c r="D52" s="8" t="s">
        <v>8</v>
      </c>
      <c r="E52" s="8">
        <v>9.95</v>
      </c>
      <c r="F52" s="6" t="str">
        <f t="shared" si="3"/>
        <v>October</v>
      </c>
    </row>
    <row r="53" ht="22.5" customHeight="1">
      <c r="A53" s="9">
        <v>45933.0</v>
      </c>
      <c r="B53" s="8" t="s">
        <v>9</v>
      </c>
      <c r="C53" s="8" t="s">
        <v>51</v>
      </c>
      <c r="D53" s="8" t="s">
        <v>52</v>
      </c>
      <c r="E53" s="8">
        <v>26.0</v>
      </c>
      <c r="F53" s="6" t="str">
        <f t="shared" si="3"/>
        <v>October</v>
      </c>
    </row>
    <row r="54" ht="22.5" customHeight="1">
      <c r="A54" s="4">
        <v>45933.0</v>
      </c>
      <c r="B54" s="5" t="s">
        <v>6</v>
      </c>
      <c r="C54" s="5" t="s">
        <v>7</v>
      </c>
      <c r="D54" s="5" t="s">
        <v>8</v>
      </c>
      <c r="E54" s="5">
        <v>494.25</v>
      </c>
      <c r="F54" s="6" t="str">
        <f t="shared" si="3"/>
        <v>October</v>
      </c>
    </row>
    <row r="55" ht="22.5" customHeight="1">
      <c r="A55" s="9">
        <v>45933.0</v>
      </c>
      <c r="B55" s="8" t="s">
        <v>14</v>
      </c>
      <c r="C55" s="8" t="s">
        <v>53</v>
      </c>
      <c r="D55" s="8" t="s">
        <v>8</v>
      </c>
      <c r="E55" s="8">
        <v>12.73</v>
      </c>
      <c r="F55" s="6" t="str">
        <f t="shared" si="3"/>
        <v>October</v>
      </c>
    </row>
    <row r="56" ht="22.5" customHeight="1">
      <c r="A56" s="9">
        <v>45934.0</v>
      </c>
      <c r="B56" s="8" t="s">
        <v>31</v>
      </c>
      <c r="C56" s="8" t="s">
        <v>54</v>
      </c>
      <c r="D56" s="8" t="s">
        <v>8</v>
      </c>
      <c r="E56" s="8">
        <v>75.33</v>
      </c>
      <c r="F56" s="6" t="str">
        <f t="shared" si="3"/>
        <v>October</v>
      </c>
    </row>
    <row r="57" ht="22.5" customHeight="1">
      <c r="A57" s="9">
        <v>45934.0</v>
      </c>
      <c r="B57" s="8" t="s">
        <v>11</v>
      </c>
      <c r="C57" s="8" t="s">
        <v>55</v>
      </c>
      <c r="D57" s="8" t="s">
        <v>8</v>
      </c>
      <c r="E57" s="8">
        <v>6.51</v>
      </c>
      <c r="F57" s="6" t="str">
        <f t="shared" si="3"/>
        <v>October</v>
      </c>
    </row>
    <row r="58" ht="22.5" customHeight="1">
      <c r="A58" s="9">
        <v>45938.0</v>
      </c>
      <c r="B58" s="8" t="s">
        <v>11</v>
      </c>
      <c r="C58" s="8" t="s">
        <v>56</v>
      </c>
      <c r="D58" s="8" t="s">
        <v>8</v>
      </c>
      <c r="E58" s="8">
        <v>5.3</v>
      </c>
      <c r="F58" s="6" t="str">
        <f t="shared" si="3"/>
        <v>October</v>
      </c>
    </row>
    <row r="59" ht="22.5" customHeight="1">
      <c r="A59" s="9">
        <v>45939.0</v>
      </c>
      <c r="B59" s="8" t="s">
        <v>11</v>
      </c>
      <c r="C59" s="8" t="s">
        <v>33</v>
      </c>
      <c r="D59" s="8" t="s">
        <v>8</v>
      </c>
      <c r="E59" s="8">
        <v>6.01</v>
      </c>
      <c r="F59" s="6" t="str">
        <f t="shared" si="3"/>
        <v>October</v>
      </c>
    </row>
    <row r="60" ht="22.5" customHeight="1">
      <c r="A60" s="9">
        <v>45939.0</v>
      </c>
      <c r="B60" s="8" t="s">
        <v>11</v>
      </c>
      <c r="C60" s="8" t="s">
        <v>12</v>
      </c>
      <c r="D60" s="8" t="s">
        <v>8</v>
      </c>
      <c r="E60" s="10">
        <f>4.03+1.39</f>
        <v>5.42</v>
      </c>
      <c r="F60" s="6" t="str">
        <f t="shared" si="3"/>
        <v>October</v>
      </c>
    </row>
    <row r="61" ht="22.5" customHeight="1">
      <c r="A61" s="9">
        <v>45940.0</v>
      </c>
      <c r="B61" s="8" t="s">
        <v>11</v>
      </c>
      <c r="C61" s="8" t="s">
        <v>12</v>
      </c>
      <c r="D61" s="8" t="s">
        <v>8</v>
      </c>
      <c r="E61" s="10">
        <f>2.18+1.15</f>
        <v>3.33</v>
      </c>
      <c r="F61" s="6" t="str">
        <f t="shared" si="3"/>
        <v>October</v>
      </c>
    </row>
    <row r="62" ht="22.5" customHeight="1">
      <c r="A62" s="9">
        <v>45941.0</v>
      </c>
      <c r="B62" s="8" t="s">
        <v>11</v>
      </c>
      <c r="C62" s="8" t="s">
        <v>57</v>
      </c>
      <c r="D62" s="8" t="s">
        <v>8</v>
      </c>
      <c r="E62" s="10">
        <f>3.23+0.99</f>
        <v>4.22</v>
      </c>
      <c r="F62" s="6" t="str">
        <f t="shared" si="3"/>
        <v>October</v>
      </c>
    </row>
    <row r="63" ht="22.5" customHeight="1">
      <c r="A63" s="9">
        <v>45942.0</v>
      </c>
      <c r="B63" s="8" t="s">
        <v>11</v>
      </c>
      <c r="C63" s="8" t="s">
        <v>20</v>
      </c>
      <c r="D63" s="8" t="s">
        <v>8</v>
      </c>
      <c r="E63" s="10">
        <f>1.8+5.85+1.67+1.25+2.64</f>
        <v>13.21</v>
      </c>
      <c r="F63" s="6" t="str">
        <f t="shared" si="3"/>
        <v>October</v>
      </c>
    </row>
    <row r="64" ht="22.5" customHeight="1">
      <c r="A64" s="9">
        <v>45942.0</v>
      </c>
      <c r="B64" s="8" t="s">
        <v>11</v>
      </c>
      <c r="C64" s="8" t="s">
        <v>58</v>
      </c>
      <c r="D64" s="8" t="s">
        <v>8</v>
      </c>
      <c r="E64" s="10">
        <f>3.44+2.85</f>
        <v>6.29</v>
      </c>
      <c r="F64" s="6" t="str">
        <f t="shared" si="3"/>
        <v>October</v>
      </c>
    </row>
    <row r="65" ht="22.5" customHeight="1">
      <c r="A65" s="9">
        <v>45940.0</v>
      </c>
      <c r="B65" s="8" t="s">
        <v>9</v>
      </c>
      <c r="C65" s="8" t="s">
        <v>59</v>
      </c>
      <c r="D65" s="8" t="s">
        <v>8</v>
      </c>
      <c r="E65" s="8">
        <v>41.0</v>
      </c>
      <c r="F65" s="6" t="str">
        <f t="shared" si="3"/>
        <v>October</v>
      </c>
    </row>
    <row r="66" ht="22.5" customHeight="1">
      <c r="A66" s="9">
        <v>45941.0</v>
      </c>
      <c r="B66" s="8" t="s">
        <v>60</v>
      </c>
      <c r="C66" s="8" t="s">
        <v>61</v>
      </c>
      <c r="D66" s="8" t="s">
        <v>8</v>
      </c>
      <c r="E66" s="8">
        <v>10.0</v>
      </c>
      <c r="F66" s="6" t="str">
        <f t="shared" si="3"/>
        <v>October</v>
      </c>
    </row>
    <row r="67" ht="22.5" customHeight="1">
      <c r="A67" s="9">
        <v>45944.0</v>
      </c>
      <c r="B67" s="8" t="s">
        <v>11</v>
      </c>
      <c r="C67" s="8" t="s">
        <v>47</v>
      </c>
      <c r="D67" s="8" t="s">
        <v>8</v>
      </c>
      <c r="E67" s="8"/>
      <c r="F67" s="6" t="str">
        <f t="shared" si="3"/>
        <v>October</v>
      </c>
    </row>
    <row r="68" ht="22.5" customHeight="1">
      <c r="A68" s="9">
        <v>45945.0</v>
      </c>
      <c r="B68" s="8" t="s">
        <v>11</v>
      </c>
      <c r="C68" s="8" t="s">
        <v>12</v>
      </c>
      <c r="D68" s="8" t="s">
        <v>8</v>
      </c>
      <c r="E68" s="8">
        <v>5.76</v>
      </c>
      <c r="F68" s="6" t="str">
        <f t="shared" si="3"/>
        <v>October</v>
      </c>
    </row>
    <row r="69" ht="22.5" customHeight="1">
      <c r="A69" s="9">
        <v>45946.0</v>
      </c>
      <c r="B69" s="8" t="s">
        <v>23</v>
      </c>
      <c r="C69" s="8" t="s">
        <v>62</v>
      </c>
      <c r="D69" s="8" t="s">
        <v>8</v>
      </c>
      <c r="E69" s="8">
        <v>4.38</v>
      </c>
      <c r="F69" s="6" t="str">
        <f t="shared" si="3"/>
        <v>October</v>
      </c>
    </row>
    <row r="70" ht="22.5" customHeight="1">
      <c r="A70" s="9">
        <v>45949.0</v>
      </c>
      <c r="B70" s="8" t="s">
        <v>11</v>
      </c>
      <c r="C70" s="8" t="s">
        <v>12</v>
      </c>
      <c r="D70" s="8" t="s">
        <v>8</v>
      </c>
      <c r="E70" s="8">
        <f>0.8+7.63</f>
        <v>8.43</v>
      </c>
      <c r="F70" s="6" t="str">
        <f t="shared" si="3"/>
        <v>October</v>
      </c>
    </row>
    <row r="71" ht="22.5" customHeight="1">
      <c r="A71" s="9">
        <v>45950.0</v>
      </c>
      <c r="B71" s="5" t="s">
        <v>6</v>
      </c>
      <c r="C71" s="8" t="s">
        <v>44</v>
      </c>
      <c r="D71" s="8" t="s">
        <v>63</v>
      </c>
      <c r="E71" s="8">
        <v>3.12</v>
      </c>
      <c r="F71" s="6" t="str">
        <f t="shared" si="3"/>
        <v>October</v>
      </c>
    </row>
    <row r="72" ht="22.5" customHeight="1">
      <c r="A72" s="9">
        <v>45961.0</v>
      </c>
      <c r="B72" s="8" t="s">
        <v>15</v>
      </c>
      <c r="C72" s="8" t="s">
        <v>64</v>
      </c>
      <c r="D72" s="8" t="s">
        <v>63</v>
      </c>
      <c r="E72" s="8">
        <v>3.53</v>
      </c>
      <c r="F72" s="6" t="str">
        <f t="shared" si="3"/>
        <v>October</v>
      </c>
    </row>
    <row r="73" ht="22.5" customHeight="1">
      <c r="A73" s="9">
        <v>45961.0</v>
      </c>
      <c r="B73" s="8" t="s">
        <v>11</v>
      </c>
      <c r="C73" s="8" t="s">
        <v>65</v>
      </c>
      <c r="D73" s="8" t="s">
        <v>63</v>
      </c>
      <c r="E73" s="8">
        <v>1.35</v>
      </c>
      <c r="F73" s="6" t="str">
        <f t="shared" si="3"/>
        <v>October</v>
      </c>
    </row>
    <row r="74" ht="22.5" customHeight="1">
      <c r="A74" s="9">
        <v>45961.0</v>
      </c>
      <c r="B74" s="8" t="s">
        <v>31</v>
      </c>
      <c r="C74" s="8" t="s">
        <v>66</v>
      </c>
      <c r="D74" s="8" t="s">
        <v>8</v>
      </c>
      <c r="E74" s="8">
        <v>2.62</v>
      </c>
      <c r="F74" s="6" t="str">
        <f t="shared" si="3"/>
        <v>October</v>
      </c>
    </row>
    <row r="75" ht="22.5" customHeight="1">
      <c r="A75" s="9">
        <v>45961.0</v>
      </c>
      <c r="B75" s="8" t="s">
        <v>11</v>
      </c>
      <c r="C75" s="8" t="s">
        <v>12</v>
      </c>
      <c r="D75" s="8" t="s">
        <v>8</v>
      </c>
      <c r="E75" s="10">
        <f>2.61+2.33+2.76</f>
        <v>7.7</v>
      </c>
      <c r="F75" s="6" t="str">
        <f t="shared" si="3"/>
        <v>October</v>
      </c>
    </row>
    <row r="76" ht="22.5" customHeight="1">
      <c r="A76" s="11"/>
      <c r="B76" s="10"/>
      <c r="C76" s="10"/>
      <c r="D76" s="8"/>
      <c r="E76" s="10"/>
      <c r="F76" s="6" t="str">
        <f t="shared" si="3"/>
        <v>December</v>
      </c>
    </row>
    <row r="77" ht="22.5" customHeight="1">
      <c r="A77" s="9">
        <v>45962.0</v>
      </c>
      <c r="B77" s="8" t="s">
        <v>6</v>
      </c>
      <c r="C77" s="8" t="s">
        <v>6</v>
      </c>
      <c r="D77" s="8" t="s">
        <v>8</v>
      </c>
      <c r="E77" s="8">
        <v>766.0</v>
      </c>
      <c r="F77" s="6" t="str">
        <f t="shared" si="3"/>
        <v>November</v>
      </c>
    </row>
    <row r="78" ht="22.5" customHeight="1">
      <c r="A78" s="9">
        <v>45962.0</v>
      </c>
      <c r="B78" s="8" t="s">
        <v>9</v>
      </c>
      <c r="C78" s="8" t="s">
        <v>67</v>
      </c>
      <c r="D78" s="8" t="s">
        <v>8</v>
      </c>
      <c r="E78" s="8">
        <v>38.8</v>
      </c>
      <c r="F78" s="6" t="str">
        <f t="shared" si="3"/>
        <v>November</v>
      </c>
    </row>
    <row r="79" ht="22.5" customHeight="1">
      <c r="A79" s="9">
        <v>45962.0</v>
      </c>
      <c r="B79" s="8" t="s">
        <v>11</v>
      </c>
      <c r="C79" s="8" t="s">
        <v>20</v>
      </c>
      <c r="D79" s="8" t="s">
        <v>8</v>
      </c>
      <c r="E79" s="10">
        <f>17.84+4.25+3.5+0.82</f>
        <v>26.41</v>
      </c>
      <c r="F79" s="6" t="str">
        <f t="shared" si="3"/>
        <v>November</v>
      </c>
    </row>
    <row r="80" ht="22.5" customHeight="1">
      <c r="A80" s="9">
        <v>45963.0</v>
      </c>
      <c r="B80" s="8" t="s">
        <v>11</v>
      </c>
      <c r="C80" s="8" t="s">
        <v>12</v>
      </c>
      <c r="D80" s="8" t="s">
        <v>8</v>
      </c>
      <c r="E80" s="10">
        <f>0.72+3.29+1.39+0.32</f>
        <v>5.72</v>
      </c>
      <c r="F80" s="6" t="str">
        <f t="shared" si="3"/>
        <v>November</v>
      </c>
    </row>
    <row r="81" ht="22.5" customHeight="1">
      <c r="A81" s="9">
        <v>45964.0</v>
      </c>
      <c r="B81" s="8" t="s">
        <v>60</v>
      </c>
      <c r="C81" s="8" t="s">
        <v>68</v>
      </c>
      <c r="D81" s="8" t="s">
        <v>8</v>
      </c>
      <c r="E81" s="10">
        <f>2.5+7.33+1.1+4+2.84+2.86+2</f>
        <v>22.63</v>
      </c>
      <c r="F81" s="6" t="str">
        <f t="shared" si="3"/>
        <v>November</v>
      </c>
    </row>
    <row r="82" ht="22.5" customHeight="1">
      <c r="A82" s="9">
        <v>45966.0</v>
      </c>
      <c r="B82" s="8" t="s">
        <v>9</v>
      </c>
      <c r="C82" s="8" t="s">
        <v>14</v>
      </c>
      <c r="D82" s="8" t="s">
        <v>8</v>
      </c>
      <c r="E82" s="8">
        <v>12.72</v>
      </c>
      <c r="F82" s="6" t="str">
        <f t="shared" si="3"/>
        <v>November</v>
      </c>
    </row>
    <row r="83" ht="22.5" customHeight="1">
      <c r="A83" s="9">
        <v>45969.0</v>
      </c>
      <c r="B83" s="8" t="s">
        <v>11</v>
      </c>
      <c r="C83" s="8" t="s">
        <v>13</v>
      </c>
      <c r="D83" s="8" t="s">
        <v>8</v>
      </c>
      <c r="E83" s="8">
        <v>30.1</v>
      </c>
      <c r="F83" s="6" t="str">
        <f t="shared" si="3"/>
        <v>November</v>
      </c>
    </row>
    <row r="84" ht="22.5" customHeight="1">
      <c r="A84" s="9">
        <v>45978.0</v>
      </c>
      <c r="B84" s="8" t="s">
        <v>60</v>
      </c>
      <c r="C84" s="8" t="s">
        <v>69</v>
      </c>
      <c r="D84" s="8" t="s">
        <v>8</v>
      </c>
      <c r="E84" s="8">
        <v>1.04</v>
      </c>
      <c r="F84" s="6" t="str">
        <f t="shared" si="3"/>
        <v>November</v>
      </c>
    </row>
    <row r="85" ht="22.5" customHeight="1">
      <c r="A85" s="9">
        <v>45982.0</v>
      </c>
      <c r="B85" s="8" t="s">
        <v>11</v>
      </c>
      <c r="C85" s="8" t="s">
        <v>20</v>
      </c>
      <c r="D85" s="8" t="s">
        <v>8</v>
      </c>
      <c r="E85" s="8">
        <f>6.24+3.78+1.13+1.69</f>
        <v>12.84</v>
      </c>
      <c r="F85" s="6" t="str">
        <f t="shared" si="3"/>
        <v>November</v>
      </c>
    </row>
    <row r="86" ht="22.5" customHeight="1">
      <c r="A86" s="9">
        <v>45980.0</v>
      </c>
      <c r="B86" s="8" t="s">
        <v>60</v>
      </c>
      <c r="C86" s="8" t="s">
        <v>70</v>
      </c>
      <c r="D86" s="8" t="s">
        <v>8</v>
      </c>
      <c r="E86" s="8">
        <f>16.03+2.91</f>
        <v>18.94</v>
      </c>
      <c r="F86" s="6" t="str">
        <f t="shared" si="3"/>
        <v>November</v>
      </c>
    </row>
    <row r="87" ht="22.5" customHeight="1">
      <c r="A87" s="9">
        <v>45979.0</v>
      </c>
      <c r="B87" s="8" t="s">
        <v>15</v>
      </c>
      <c r="C87" s="8" t="s">
        <v>71</v>
      </c>
      <c r="D87" s="8" t="s">
        <v>8</v>
      </c>
      <c r="E87" s="8">
        <v>3.0</v>
      </c>
      <c r="F87" s="6" t="str">
        <f t="shared" si="3"/>
        <v>November</v>
      </c>
    </row>
    <row r="88" ht="22.5" customHeight="1">
      <c r="A88" s="9">
        <v>45972.0</v>
      </c>
      <c r="B88" s="8" t="s">
        <v>11</v>
      </c>
      <c r="C88" s="8" t="s">
        <v>33</v>
      </c>
      <c r="D88" s="8" t="s">
        <v>8</v>
      </c>
      <c r="E88" s="8">
        <f>5.02+12.1</f>
        <v>17.12</v>
      </c>
      <c r="F88" s="6" t="str">
        <f t="shared" si="3"/>
        <v>November</v>
      </c>
    </row>
    <row r="89" ht="22.5" customHeight="1">
      <c r="A89" s="9">
        <v>45974.0</v>
      </c>
      <c r="B89" s="8" t="s">
        <v>11</v>
      </c>
      <c r="C89" s="8" t="s">
        <v>12</v>
      </c>
      <c r="D89" s="8" t="s">
        <v>8</v>
      </c>
      <c r="E89" s="10">
        <f>1.52</f>
        <v>1.52</v>
      </c>
      <c r="F89" s="6" t="str">
        <f t="shared" si="3"/>
        <v>November</v>
      </c>
    </row>
    <row r="90" ht="22.5" customHeight="1">
      <c r="A90" s="9">
        <v>45976.0</v>
      </c>
      <c r="B90" s="8" t="s">
        <v>11</v>
      </c>
      <c r="C90" s="8" t="s">
        <v>12</v>
      </c>
      <c r="D90" s="8" t="s">
        <v>8</v>
      </c>
      <c r="E90" s="8">
        <f>5.68+4.21+1.33+1.87</f>
        <v>13.09</v>
      </c>
      <c r="F90" s="6" t="str">
        <f t="shared" si="3"/>
        <v>November</v>
      </c>
    </row>
    <row r="91" ht="22.5" customHeight="1">
      <c r="A91" s="9">
        <v>45979.0</v>
      </c>
      <c r="B91" s="8" t="s">
        <v>18</v>
      </c>
      <c r="C91" s="8" t="s">
        <v>72</v>
      </c>
      <c r="D91" s="8" t="s">
        <v>8</v>
      </c>
      <c r="E91" s="8">
        <v>3.58</v>
      </c>
      <c r="F91" s="6" t="str">
        <f t="shared" si="3"/>
        <v>November</v>
      </c>
    </row>
    <row r="92" ht="22.5" customHeight="1">
      <c r="A92" s="9">
        <v>45982.0</v>
      </c>
      <c r="B92" s="8" t="s">
        <v>9</v>
      </c>
      <c r="C92" s="8" t="s">
        <v>73</v>
      </c>
      <c r="D92" s="8" t="s">
        <v>8</v>
      </c>
      <c r="E92" s="8">
        <v>482.28</v>
      </c>
      <c r="F92" s="6" t="str">
        <f t="shared" si="3"/>
        <v>November</v>
      </c>
    </row>
    <row r="93" ht="22.5" customHeight="1">
      <c r="A93" s="9">
        <v>45989.0</v>
      </c>
      <c r="B93" s="8" t="s">
        <v>31</v>
      </c>
      <c r="C93" s="8" t="s">
        <v>74</v>
      </c>
      <c r="D93" s="8" t="s">
        <v>8</v>
      </c>
      <c r="E93" s="8">
        <v>63.0</v>
      </c>
      <c r="F93" s="6" t="str">
        <f t="shared" si="3"/>
        <v>November</v>
      </c>
    </row>
    <row r="94" ht="22.5" customHeight="1">
      <c r="A94" s="9">
        <v>45991.0</v>
      </c>
      <c r="B94" s="8" t="s">
        <v>15</v>
      </c>
      <c r="C94" s="8" t="s">
        <v>75</v>
      </c>
      <c r="D94" s="8" t="s">
        <v>8</v>
      </c>
      <c r="E94" s="8">
        <v>5.0</v>
      </c>
      <c r="F94" s="6" t="str">
        <f t="shared" si="3"/>
        <v>November</v>
      </c>
    </row>
    <row r="95" ht="22.5" customHeight="1">
      <c r="A95" s="9">
        <v>45991.0</v>
      </c>
      <c r="B95" s="8" t="s">
        <v>23</v>
      </c>
      <c r="C95" s="8" t="s">
        <v>75</v>
      </c>
      <c r="D95" s="8" t="s">
        <v>8</v>
      </c>
      <c r="E95" s="10">
        <f>6.09+15.17</f>
        <v>21.26</v>
      </c>
      <c r="F95" s="6" t="str">
        <f t="shared" si="3"/>
        <v>November</v>
      </c>
    </row>
    <row r="96" ht="22.5" customHeight="1">
      <c r="A96" s="9">
        <v>45984.0</v>
      </c>
      <c r="B96" s="8" t="s">
        <v>11</v>
      </c>
      <c r="C96" s="8" t="s">
        <v>19</v>
      </c>
      <c r="D96" s="8" t="s">
        <v>8</v>
      </c>
      <c r="E96" s="10">
        <f>4.1+4.5</f>
        <v>8.6</v>
      </c>
      <c r="F96" s="6" t="str">
        <f t="shared" si="3"/>
        <v>November</v>
      </c>
    </row>
    <row r="97" ht="22.5" customHeight="1">
      <c r="A97" s="9">
        <v>45990.0</v>
      </c>
      <c r="B97" s="8" t="s">
        <v>9</v>
      </c>
      <c r="C97" s="8" t="s">
        <v>76</v>
      </c>
      <c r="D97" s="8" t="s">
        <v>8</v>
      </c>
      <c r="E97" s="8">
        <v>38.03</v>
      </c>
      <c r="F97" s="6" t="str">
        <f t="shared" si="3"/>
        <v>November</v>
      </c>
    </row>
    <row r="98" ht="22.5" customHeight="1">
      <c r="A98" s="9">
        <v>45991.0</v>
      </c>
      <c r="B98" s="8" t="s">
        <v>11</v>
      </c>
      <c r="C98" s="8" t="s">
        <v>77</v>
      </c>
      <c r="D98" s="8" t="s">
        <v>8</v>
      </c>
      <c r="E98" s="10">
        <f>4.49+2.69+3.03</f>
        <v>10.21</v>
      </c>
      <c r="F98" s="6" t="str">
        <f t="shared" si="3"/>
        <v>November</v>
      </c>
    </row>
    <row r="99" ht="22.5" customHeight="1">
      <c r="A99" s="9">
        <v>45991.0</v>
      </c>
      <c r="B99" s="8" t="s">
        <v>31</v>
      </c>
      <c r="C99" s="8" t="s">
        <v>78</v>
      </c>
      <c r="D99" s="8" t="s">
        <v>8</v>
      </c>
      <c r="E99" s="8">
        <v>30.0</v>
      </c>
      <c r="F99" s="6" t="str">
        <f t="shared" si="3"/>
        <v>November</v>
      </c>
    </row>
    <row r="100" ht="22.5" customHeight="1">
      <c r="A100" s="9">
        <v>45991.0</v>
      </c>
      <c r="B100" s="8" t="s">
        <v>31</v>
      </c>
      <c r="C100" s="8" t="s">
        <v>79</v>
      </c>
      <c r="D100" s="8" t="s">
        <v>8</v>
      </c>
      <c r="E100" s="8">
        <v>90.0</v>
      </c>
      <c r="F100" s="6" t="str">
        <f t="shared" si="3"/>
        <v>November</v>
      </c>
    </row>
    <row r="101" ht="22.5" customHeight="1">
      <c r="A101" s="9">
        <v>45991.0</v>
      </c>
      <c r="B101" s="8" t="s">
        <v>31</v>
      </c>
      <c r="C101" s="8" t="s">
        <v>80</v>
      </c>
      <c r="D101" s="8" t="s">
        <v>8</v>
      </c>
      <c r="E101" s="8">
        <v>19.3</v>
      </c>
      <c r="F101" s="6" t="str">
        <f t="shared" si="3"/>
        <v>November</v>
      </c>
    </row>
    <row r="102" ht="22.5" customHeight="1">
      <c r="A102" s="11"/>
      <c r="B102" s="10"/>
      <c r="C102" s="10"/>
      <c r="D102" s="8" t="s">
        <v>8</v>
      </c>
      <c r="E102" s="10"/>
      <c r="F102" s="6" t="str">
        <f t="shared" si="3"/>
        <v>December</v>
      </c>
    </row>
    <row r="103" ht="22.5" customHeight="1">
      <c r="A103" s="9">
        <v>45996.0</v>
      </c>
      <c r="B103" s="8" t="s">
        <v>6</v>
      </c>
      <c r="C103" s="8" t="s">
        <v>6</v>
      </c>
      <c r="D103" s="8" t="s">
        <v>8</v>
      </c>
      <c r="E103" s="8">
        <v>773.79</v>
      </c>
      <c r="F103" s="6" t="str">
        <f t="shared" si="3"/>
        <v>December</v>
      </c>
    </row>
    <row r="104" ht="22.5" customHeight="1">
      <c r="A104" s="9">
        <v>45997.0</v>
      </c>
      <c r="B104" s="8" t="s">
        <v>9</v>
      </c>
      <c r="C104" s="8" t="s">
        <v>14</v>
      </c>
      <c r="D104" s="8" t="s">
        <v>8</v>
      </c>
      <c r="E104" s="8">
        <v>12.72</v>
      </c>
      <c r="F104" s="6" t="str">
        <f t="shared" si="3"/>
        <v>December</v>
      </c>
    </row>
    <row r="105" ht="22.5" customHeight="1">
      <c r="A105" s="9">
        <v>45997.0</v>
      </c>
      <c r="B105" s="8" t="s">
        <v>60</v>
      </c>
      <c r="C105" s="8" t="s">
        <v>81</v>
      </c>
      <c r="D105" s="8" t="s">
        <v>8</v>
      </c>
      <c r="E105" s="8">
        <v>12.0</v>
      </c>
      <c r="F105" s="6" t="str">
        <f t="shared" si="3"/>
        <v>December</v>
      </c>
    </row>
    <row r="106" ht="22.5" customHeight="1">
      <c r="A106" s="9">
        <v>46007.0</v>
      </c>
      <c r="B106" s="8" t="s">
        <v>23</v>
      </c>
      <c r="C106" s="8" t="s">
        <v>82</v>
      </c>
      <c r="D106" s="8" t="s">
        <v>8</v>
      </c>
      <c r="E106" s="8">
        <v>13.76</v>
      </c>
      <c r="F106" s="6" t="str">
        <f t="shared" si="3"/>
        <v>December</v>
      </c>
    </row>
    <row r="107" ht="22.5" customHeight="1">
      <c r="A107" s="9">
        <v>46008.0</v>
      </c>
      <c r="B107" s="8" t="s">
        <v>23</v>
      </c>
      <c r="C107" s="8" t="s">
        <v>83</v>
      </c>
      <c r="D107" s="8" t="s">
        <v>8</v>
      </c>
      <c r="E107" s="8">
        <v>11.0</v>
      </c>
      <c r="F107" s="6" t="str">
        <f t="shared" si="3"/>
        <v>December</v>
      </c>
    </row>
    <row r="108" ht="22.5" customHeight="1">
      <c r="A108" s="9">
        <v>46009.0</v>
      </c>
      <c r="B108" s="8" t="s">
        <v>15</v>
      </c>
      <c r="C108" s="8" t="s">
        <v>68</v>
      </c>
      <c r="D108" s="8" t="s">
        <v>8</v>
      </c>
      <c r="E108" s="8">
        <v>4.85</v>
      </c>
      <c r="F108" s="6" t="str">
        <f t="shared" si="3"/>
        <v>December</v>
      </c>
    </row>
    <row r="109" ht="22.5" customHeight="1">
      <c r="A109" s="9">
        <v>45992.0</v>
      </c>
      <c r="B109" s="8" t="s">
        <v>11</v>
      </c>
      <c r="C109" s="8" t="s">
        <v>84</v>
      </c>
      <c r="D109" s="8" t="s">
        <v>8</v>
      </c>
      <c r="E109" s="8">
        <v>9.85</v>
      </c>
      <c r="F109" s="6" t="str">
        <f t="shared" si="3"/>
        <v>December</v>
      </c>
    </row>
    <row r="110" ht="22.5" customHeight="1">
      <c r="A110" s="9">
        <v>45993.0</v>
      </c>
      <c r="B110" s="8" t="s">
        <v>11</v>
      </c>
      <c r="C110" s="8" t="s">
        <v>20</v>
      </c>
      <c r="D110" s="8" t="s">
        <v>8</v>
      </c>
      <c r="E110" s="10">
        <f>4.53+1.41+1.69+3.78</f>
        <v>11.41</v>
      </c>
      <c r="F110" s="6" t="str">
        <f t="shared" si="3"/>
        <v>December</v>
      </c>
    </row>
    <row r="111" ht="22.5" customHeight="1">
      <c r="A111" s="9">
        <v>45996.0</v>
      </c>
      <c r="B111" s="8" t="s">
        <v>11</v>
      </c>
      <c r="C111" s="8" t="s">
        <v>85</v>
      </c>
      <c r="D111" s="8" t="s">
        <v>8</v>
      </c>
      <c r="E111" s="8">
        <v>0.94</v>
      </c>
      <c r="F111" s="6" t="str">
        <f t="shared" si="3"/>
        <v>December</v>
      </c>
    </row>
    <row r="112" ht="22.5" customHeight="1">
      <c r="A112" s="9">
        <v>45998.0</v>
      </c>
      <c r="B112" s="8" t="s">
        <v>11</v>
      </c>
      <c r="C112" s="8" t="s">
        <v>86</v>
      </c>
      <c r="D112" s="8" t="s">
        <v>8</v>
      </c>
      <c r="E112" s="8">
        <v>2.79</v>
      </c>
      <c r="F112" s="6" t="str">
        <f t="shared" si="3"/>
        <v>December</v>
      </c>
    </row>
    <row r="113" ht="22.5" customHeight="1">
      <c r="A113" s="9">
        <v>46002.0</v>
      </c>
      <c r="B113" s="8" t="s">
        <v>11</v>
      </c>
      <c r="C113" s="8" t="s">
        <v>12</v>
      </c>
      <c r="D113" s="8" t="s">
        <v>8</v>
      </c>
      <c r="E113" s="10">
        <f>2.3+12.29</f>
        <v>14.59</v>
      </c>
      <c r="F113" s="6" t="str">
        <f t="shared" si="3"/>
        <v>December</v>
      </c>
    </row>
    <row r="114" ht="22.5" customHeight="1">
      <c r="A114" s="9">
        <v>46004.0</v>
      </c>
      <c r="B114" s="8" t="s">
        <v>6</v>
      </c>
      <c r="C114" s="8" t="s">
        <v>44</v>
      </c>
      <c r="D114" s="8" t="s">
        <v>8</v>
      </c>
      <c r="E114" s="8">
        <v>3.12</v>
      </c>
      <c r="F114" s="6" t="str">
        <f t="shared" si="3"/>
        <v>December</v>
      </c>
    </row>
    <row r="115" ht="22.5" customHeight="1">
      <c r="A115" s="9">
        <v>46004.0</v>
      </c>
      <c r="B115" s="8" t="s">
        <v>11</v>
      </c>
      <c r="C115" s="8" t="s">
        <v>46</v>
      </c>
      <c r="D115" s="8" t="s">
        <v>8</v>
      </c>
      <c r="E115" s="8">
        <v>25.99</v>
      </c>
      <c r="F115" s="6" t="str">
        <f t="shared" si="3"/>
        <v>December</v>
      </c>
    </row>
    <row r="116" ht="22.5" customHeight="1">
      <c r="A116" s="9">
        <v>46007.0</v>
      </c>
      <c r="B116" s="8" t="s">
        <v>60</v>
      </c>
      <c r="C116" s="8" t="s">
        <v>87</v>
      </c>
      <c r="D116" s="8" t="s">
        <v>8</v>
      </c>
      <c r="E116" s="8">
        <v>11.39</v>
      </c>
      <c r="F116" s="6" t="str">
        <f t="shared" si="3"/>
        <v>December</v>
      </c>
    </row>
    <row r="117" ht="22.5" customHeight="1">
      <c r="A117" s="9">
        <v>46008.0</v>
      </c>
      <c r="B117" s="8" t="s">
        <v>88</v>
      </c>
      <c r="C117" s="8" t="s">
        <v>89</v>
      </c>
      <c r="D117" s="8" t="s">
        <v>8</v>
      </c>
      <c r="E117" s="10">
        <f>1.86+1.08+5.12</f>
        <v>8.06</v>
      </c>
      <c r="F117" s="6" t="str">
        <f t="shared" si="3"/>
        <v>December</v>
      </c>
    </row>
    <row r="118" ht="22.5" customHeight="1">
      <c r="A118" s="9">
        <v>46011.0</v>
      </c>
      <c r="B118" s="8" t="s">
        <v>60</v>
      </c>
      <c r="C118" s="8" t="s">
        <v>90</v>
      </c>
      <c r="D118" s="8" t="s">
        <v>8</v>
      </c>
      <c r="E118" s="8">
        <v>34.15</v>
      </c>
      <c r="F118" s="6" t="str">
        <f t="shared" si="3"/>
        <v>December</v>
      </c>
    </row>
    <row r="119" ht="22.5" customHeight="1">
      <c r="A119" s="11"/>
      <c r="B119" s="10"/>
      <c r="C119" s="10"/>
      <c r="D119" s="8" t="s">
        <v>8</v>
      </c>
      <c r="E119" s="10"/>
      <c r="F119" s="6" t="str">
        <f t="shared" si="3"/>
        <v>December</v>
      </c>
    </row>
    <row r="120" ht="22.5" customHeight="1">
      <c r="A120" s="11"/>
      <c r="B120" s="10"/>
      <c r="C120" s="10"/>
      <c r="D120" s="8" t="s">
        <v>8</v>
      </c>
      <c r="E120" s="10"/>
      <c r="F120" s="6" t="str">
        <f t="shared" si="3"/>
        <v>December</v>
      </c>
    </row>
    <row r="121" ht="22.5" customHeight="1">
      <c r="A121" s="9">
        <v>46013.0</v>
      </c>
      <c r="B121" s="8" t="s">
        <v>23</v>
      </c>
      <c r="C121" s="8" t="s">
        <v>91</v>
      </c>
      <c r="D121" s="8" t="s">
        <v>8</v>
      </c>
      <c r="E121" s="8">
        <v>1.25</v>
      </c>
      <c r="F121" s="6" t="str">
        <f t="shared" si="3"/>
        <v>December</v>
      </c>
    </row>
    <row r="122" ht="22.5" customHeight="1">
      <c r="A122" s="9">
        <v>46013.0</v>
      </c>
      <c r="B122" s="8" t="s">
        <v>15</v>
      </c>
      <c r="C122" s="8" t="s">
        <v>92</v>
      </c>
      <c r="D122" s="8" t="s">
        <v>8</v>
      </c>
      <c r="E122" s="8">
        <v>4.55</v>
      </c>
      <c r="F122" s="6" t="str">
        <f t="shared" si="3"/>
        <v>December</v>
      </c>
    </row>
    <row r="123" ht="22.5" customHeight="1">
      <c r="A123" s="9">
        <v>46014.0</v>
      </c>
      <c r="B123" s="8" t="s">
        <v>15</v>
      </c>
      <c r="C123" s="8" t="s">
        <v>93</v>
      </c>
      <c r="D123" s="8" t="s">
        <v>8</v>
      </c>
      <c r="E123" s="8">
        <v>2.9</v>
      </c>
      <c r="F123" s="6" t="str">
        <f t="shared" ref="F123:F124" si="4">TEXT(A124,"MMMM")</f>
        <v>December</v>
      </c>
    </row>
    <row r="124" ht="22.5" customHeight="1">
      <c r="A124" s="9">
        <v>46014.0</v>
      </c>
      <c r="B124" s="8" t="s">
        <v>15</v>
      </c>
      <c r="C124" s="8" t="s">
        <v>94</v>
      </c>
      <c r="D124" s="8" t="s">
        <v>8</v>
      </c>
      <c r="E124" s="8">
        <v>36.0</v>
      </c>
      <c r="F124" s="6" t="str">
        <f t="shared" si="4"/>
        <v>December</v>
      </c>
    </row>
    <row r="125" ht="22.5" customHeight="1">
      <c r="A125" s="9">
        <v>46014.0</v>
      </c>
      <c r="B125" s="8" t="s">
        <v>23</v>
      </c>
      <c r="C125" s="8" t="s">
        <v>95</v>
      </c>
      <c r="D125" s="8" t="s">
        <v>8</v>
      </c>
      <c r="E125" s="8">
        <v>13.3</v>
      </c>
      <c r="F125" s="6" t="str">
        <f t="shared" ref="F125:F186" si="5">TEXT(A125,"MMMM")</f>
        <v>December</v>
      </c>
    </row>
    <row r="126" ht="22.5" customHeight="1">
      <c r="A126" s="9">
        <v>46014.0</v>
      </c>
      <c r="B126" s="8" t="s">
        <v>23</v>
      </c>
      <c r="C126" s="8" t="s">
        <v>85</v>
      </c>
      <c r="D126" s="8" t="s">
        <v>8</v>
      </c>
      <c r="E126" s="8">
        <v>1.1</v>
      </c>
      <c r="F126" s="6" t="str">
        <f t="shared" si="5"/>
        <v>December</v>
      </c>
    </row>
    <row r="127" ht="22.5" customHeight="1">
      <c r="A127" s="9">
        <v>46014.0</v>
      </c>
      <c r="B127" s="8" t="s">
        <v>60</v>
      </c>
      <c r="C127" s="8" t="s">
        <v>96</v>
      </c>
      <c r="D127" s="8" t="s">
        <v>8</v>
      </c>
      <c r="E127" s="8">
        <v>4.5</v>
      </c>
      <c r="F127" s="6" t="str">
        <f t="shared" si="5"/>
        <v>December</v>
      </c>
    </row>
    <row r="128" ht="22.5" customHeight="1">
      <c r="A128" s="9">
        <v>46014.0</v>
      </c>
      <c r="B128" s="8" t="s">
        <v>15</v>
      </c>
      <c r="C128" s="8" t="s">
        <v>97</v>
      </c>
      <c r="D128" s="8" t="s">
        <v>8</v>
      </c>
      <c r="E128" s="8">
        <v>2.9</v>
      </c>
      <c r="F128" s="6" t="str">
        <f t="shared" si="5"/>
        <v>December</v>
      </c>
    </row>
    <row r="129" ht="22.5" customHeight="1">
      <c r="A129" s="9">
        <v>46014.0</v>
      </c>
      <c r="B129" s="8" t="s">
        <v>15</v>
      </c>
      <c r="C129" s="8" t="s">
        <v>98</v>
      </c>
      <c r="D129" s="8" t="s">
        <v>8</v>
      </c>
      <c r="E129" s="8">
        <v>2.9</v>
      </c>
      <c r="F129" s="6" t="str">
        <f t="shared" si="5"/>
        <v>December</v>
      </c>
    </row>
    <row r="130" ht="22.5" customHeight="1">
      <c r="A130" s="9">
        <v>46014.0</v>
      </c>
      <c r="B130" s="8" t="s">
        <v>23</v>
      </c>
      <c r="C130" s="8" t="s">
        <v>99</v>
      </c>
      <c r="D130" s="8" t="s">
        <v>8</v>
      </c>
      <c r="E130" s="8">
        <v>5.45</v>
      </c>
      <c r="F130" s="6" t="str">
        <f t="shared" si="5"/>
        <v>December</v>
      </c>
    </row>
    <row r="131" ht="22.5" customHeight="1">
      <c r="A131" s="9">
        <v>46014.0</v>
      </c>
      <c r="B131" s="8" t="s">
        <v>15</v>
      </c>
      <c r="C131" s="8" t="s">
        <v>94</v>
      </c>
      <c r="D131" s="8" t="s">
        <v>8</v>
      </c>
      <c r="E131" s="8">
        <v>15.25</v>
      </c>
      <c r="F131" s="6" t="str">
        <f t="shared" si="5"/>
        <v>December</v>
      </c>
    </row>
    <row r="132" ht="22.5" customHeight="1">
      <c r="A132" s="9">
        <v>46015.0</v>
      </c>
      <c r="B132" s="8" t="s">
        <v>15</v>
      </c>
      <c r="C132" s="8" t="s">
        <v>100</v>
      </c>
      <c r="D132" s="8" t="s">
        <v>8</v>
      </c>
      <c r="E132" s="8">
        <v>15.25</v>
      </c>
      <c r="F132" s="6" t="str">
        <f t="shared" si="5"/>
        <v>December</v>
      </c>
    </row>
    <row r="133" ht="22.5" customHeight="1">
      <c r="A133" s="9">
        <v>46015.0</v>
      </c>
      <c r="B133" s="8" t="s">
        <v>15</v>
      </c>
      <c r="C133" s="8" t="s">
        <v>101</v>
      </c>
      <c r="D133" s="8" t="s">
        <v>8</v>
      </c>
      <c r="E133" s="8">
        <v>2.9</v>
      </c>
      <c r="F133" s="6" t="str">
        <f t="shared" si="5"/>
        <v>December</v>
      </c>
    </row>
    <row r="134" ht="22.5" customHeight="1">
      <c r="A134" s="9">
        <v>46015.0</v>
      </c>
      <c r="B134" s="8" t="s">
        <v>15</v>
      </c>
      <c r="C134" s="8" t="s">
        <v>102</v>
      </c>
      <c r="D134" s="8" t="s">
        <v>8</v>
      </c>
      <c r="E134" s="8">
        <v>2.9</v>
      </c>
      <c r="F134" s="6" t="str">
        <f t="shared" si="5"/>
        <v>December</v>
      </c>
    </row>
    <row r="135" ht="22.5" customHeight="1">
      <c r="A135" s="9">
        <v>46015.0</v>
      </c>
      <c r="B135" s="8" t="s">
        <v>15</v>
      </c>
      <c r="C135" s="8" t="s">
        <v>103</v>
      </c>
      <c r="D135" s="8" t="s">
        <v>8</v>
      </c>
      <c r="E135" s="8">
        <v>2.9</v>
      </c>
      <c r="F135" s="6" t="str">
        <f t="shared" si="5"/>
        <v>December</v>
      </c>
    </row>
    <row r="136" ht="22.5" customHeight="1">
      <c r="A136" s="9">
        <v>46015.0</v>
      </c>
      <c r="B136" s="8" t="s">
        <v>23</v>
      </c>
      <c r="C136" s="8" t="s">
        <v>104</v>
      </c>
      <c r="D136" s="8" t="s">
        <v>8</v>
      </c>
      <c r="E136" s="8">
        <v>1.7</v>
      </c>
      <c r="F136" s="6" t="str">
        <f t="shared" si="5"/>
        <v>December</v>
      </c>
    </row>
    <row r="137" ht="22.5" customHeight="1">
      <c r="A137" s="9">
        <v>46015.0</v>
      </c>
      <c r="B137" s="8" t="s">
        <v>15</v>
      </c>
      <c r="C137" s="8" t="s">
        <v>105</v>
      </c>
      <c r="D137" s="8" t="s">
        <v>8</v>
      </c>
      <c r="E137" s="8">
        <v>1.88</v>
      </c>
      <c r="F137" s="6" t="str">
        <f t="shared" si="5"/>
        <v>December</v>
      </c>
    </row>
    <row r="138" ht="22.5" customHeight="1">
      <c r="A138" s="9">
        <v>46015.0</v>
      </c>
      <c r="B138" s="8" t="s">
        <v>60</v>
      </c>
      <c r="C138" s="8" t="s">
        <v>106</v>
      </c>
      <c r="D138" s="8" t="s">
        <v>8</v>
      </c>
      <c r="E138" s="8">
        <v>55.53</v>
      </c>
      <c r="F138" s="6" t="str">
        <f t="shared" si="5"/>
        <v>December</v>
      </c>
    </row>
    <row r="139" ht="22.5" customHeight="1">
      <c r="A139" s="9">
        <v>46015.0</v>
      </c>
      <c r="B139" s="8" t="s">
        <v>15</v>
      </c>
      <c r="C139" s="8" t="s">
        <v>107</v>
      </c>
      <c r="D139" s="8" t="s">
        <v>8</v>
      </c>
      <c r="E139" s="8">
        <v>2.9</v>
      </c>
      <c r="F139" s="6" t="str">
        <f t="shared" si="5"/>
        <v>December</v>
      </c>
    </row>
    <row r="140" ht="22.5" customHeight="1">
      <c r="A140" s="9">
        <v>46015.0</v>
      </c>
      <c r="B140" s="8" t="s">
        <v>23</v>
      </c>
      <c r="C140" s="8" t="s">
        <v>108</v>
      </c>
      <c r="D140" s="8" t="s">
        <v>8</v>
      </c>
      <c r="E140" s="8">
        <v>2.5</v>
      </c>
      <c r="F140" s="6" t="str">
        <f t="shared" si="5"/>
        <v>December</v>
      </c>
    </row>
    <row r="141" ht="22.5" customHeight="1">
      <c r="A141" s="9">
        <v>46015.0</v>
      </c>
      <c r="B141" s="8" t="s">
        <v>60</v>
      </c>
      <c r="C141" s="8" t="s">
        <v>109</v>
      </c>
      <c r="D141" s="8" t="s">
        <v>8</v>
      </c>
      <c r="E141" s="8">
        <v>4.36</v>
      </c>
      <c r="F141" s="6" t="str">
        <f t="shared" si="5"/>
        <v>December</v>
      </c>
    </row>
    <row r="142" ht="22.5" customHeight="1">
      <c r="A142" s="9">
        <v>46015.0</v>
      </c>
      <c r="B142" s="8" t="s">
        <v>15</v>
      </c>
      <c r="C142" s="8" t="s">
        <v>94</v>
      </c>
      <c r="D142" s="8" t="s">
        <v>8</v>
      </c>
      <c r="E142" s="8">
        <v>15.25</v>
      </c>
      <c r="F142" s="6" t="str">
        <f t="shared" si="5"/>
        <v>December</v>
      </c>
    </row>
    <row r="143" ht="22.5" customHeight="1">
      <c r="A143" s="9">
        <v>46016.0</v>
      </c>
      <c r="B143" s="8" t="s">
        <v>15</v>
      </c>
      <c r="C143" s="8" t="s">
        <v>110</v>
      </c>
      <c r="D143" s="8" t="s">
        <v>8</v>
      </c>
      <c r="E143" s="8">
        <v>71.6</v>
      </c>
      <c r="F143" s="6" t="str">
        <f t="shared" si="5"/>
        <v>December</v>
      </c>
    </row>
    <row r="144" ht="22.5" customHeight="1">
      <c r="A144" s="9">
        <v>46016.0</v>
      </c>
      <c r="B144" s="8" t="s">
        <v>111</v>
      </c>
      <c r="C144" s="8" t="s">
        <v>112</v>
      </c>
      <c r="D144" s="8" t="s">
        <v>8</v>
      </c>
      <c r="E144" s="8">
        <v>108.81</v>
      </c>
      <c r="F144" s="6" t="str">
        <f t="shared" si="5"/>
        <v>December</v>
      </c>
    </row>
    <row r="145" ht="22.5" customHeight="1">
      <c r="A145" s="9">
        <v>46016.0</v>
      </c>
      <c r="B145" s="8" t="s">
        <v>23</v>
      </c>
      <c r="C145" s="8" t="s">
        <v>113</v>
      </c>
      <c r="D145" s="8" t="s">
        <v>8</v>
      </c>
      <c r="E145" s="8">
        <v>8.78</v>
      </c>
      <c r="F145" s="6" t="str">
        <f t="shared" si="5"/>
        <v>December</v>
      </c>
    </row>
    <row r="146" ht="22.5" customHeight="1">
      <c r="A146" s="11"/>
      <c r="B146" s="10"/>
      <c r="C146" s="10"/>
      <c r="D146" s="8" t="s">
        <v>8</v>
      </c>
      <c r="E146" s="10"/>
      <c r="F146" s="6" t="str">
        <f t="shared" si="5"/>
        <v>December</v>
      </c>
    </row>
    <row r="147" ht="22.5" customHeight="1">
      <c r="A147" s="9">
        <v>46027.0</v>
      </c>
      <c r="B147" s="8" t="s">
        <v>6</v>
      </c>
      <c r="C147" s="8" t="s">
        <v>6</v>
      </c>
      <c r="D147" s="8" t="s">
        <v>8</v>
      </c>
      <c r="E147" s="8">
        <v>773.79</v>
      </c>
      <c r="F147" s="6" t="str">
        <f t="shared" si="5"/>
        <v>January</v>
      </c>
    </row>
    <row r="148" ht="22.5" customHeight="1">
      <c r="A148" s="9">
        <v>46027.0</v>
      </c>
      <c r="B148" s="8" t="s">
        <v>9</v>
      </c>
      <c r="C148" s="8" t="s">
        <v>9</v>
      </c>
      <c r="D148" s="8" t="s">
        <v>8</v>
      </c>
      <c r="E148" s="8">
        <v>12.72</v>
      </c>
      <c r="F148" s="6" t="str">
        <f t="shared" si="5"/>
        <v>January</v>
      </c>
    </row>
    <row r="149" ht="22.5" customHeight="1">
      <c r="A149" s="9">
        <v>46048.0</v>
      </c>
      <c r="B149" s="8" t="s">
        <v>15</v>
      </c>
      <c r="C149" s="8" t="s">
        <v>114</v>
      </c>
      <c r="D149" s="8" t="s">
        <v>8</v>
      </c>
      <c r="E149" s="8">
        <v>12.87</v>
      </c>
      <c r="F149" s="6" t="str">
        <f t="shared" si="5"/>
        <v>January</v>
      </c>
    </row>
    <row r="150" ht="22.5" customHeight="1">
      <c r="A150" s="9">
        <v>46052.0</v>
      </c>
      <c r="B150" s="8" t="s">
        <v>9</v>
      </c>
      <c r="C150" s="8" t="s">
        <v>115</v>
      </c>
      <c r="D150" s="8" t="s">
        <v>8</v>
      </c>
      <c r="E150" s="8">
        <v>15.89</v>
      </c>
      <c r="F150" s="6" t="str">
        <f t="shared" si="5"/>
        <v>January</v>
      </c>
    </row>
    <row r="151" ht="22.5" customHeight="1">
      <c r="A151" s="9">
        <v>46044.0</v>
      </c>
      <c r="B151" s="8" t="s">
        <v>15</v>
      </c>
      <c r="C151" s="8" t="s">
        <v>46</v>
      </c>
      <c r="D151" s="8" t="s">
        <v>8</v>
      </c>
      <c r="E151" s="8">
        <v>2.63</v>
      </c>
      <c r="F151" s="6" t="str">
        <f t="shared" si="5"/>
        <v>January</v>
      </c>
    </row>
    <row r="152" ht="22.5" customHeight="1">
      <c r="A152" s="9">
        <v>46044.0</v>
      </c>
      <c r="B152" s="8" t="s">
        <v>11</v>
      </c>
      <c r="C152" s="8" t="s">
        <v>46</v>
      </c>
      <c r="D152" s="8" t="s">
        <v>8</v>
      </c>
      <c r="E152" s="8">
        <v>16.11</v>
      </c>
      <c r="F152" s="6" t="str">
        <f t="shared" si="5"/>
        <v>January</v>
      </c>
    </row>
    <row r="153" ht="22.5" customHeight="1">
      <c r="A153" s="9">
        <v>46049.0</v>
      </c>
      <c r="B153" s="8" t="s">
        <v>11</v>
      </c>
      <c r="C153" s="8" t="s">
        <v>20</v>
      </c>
      <c r="D153" s="8" t="s">
        <v>8</v>
      </c>
      <c r="E153" s="10">
        <f>8.82+8+0.99</f>
        <v>17.81</v>
      </c>
      <c r="F153" s="6" t="str">
        <f t="shared" si="5"/>
        <v>January</v>
      </c>
    </row>
    <row r="154" ht="22.5" customHeight="1">
      <c r="A154" s="9">
        <v>46052.0</v>
      </c>
      <c r="B154" s="8" t="s">
        <v>11</v>
      </c>
      <c r="C154" s="8" t="s">
        <v>12</v>
      </c>
      <c r="D154" s="8" t="s">
        <v>8</v>
      </c>
      <c r="E154" s="10">
        <f>0.99+3.25+3.6+2.76+5.47+7.8+3.59+1.11+10.87</f>
        <v>39.44</v>
      </c>
      <c r="F154" s="6" t="str">
        <f t="shared" si="5"/>
        <v>January</v>
      </c>
    </row>
    <row r="155" ht="22.5" customHeight="1">
      <c r="A155" s="9"/>
      <c r="B155" s="10"/>
      <c r="C155" s="10"/>
      <c r="D155" s="8" t="s">
        <v>8</v>
      </c>
      <c r="E155" s="10"/>
      <c r="F155" s="6" t="str">
        <f t="shared" si="5"/>
        <v>December</v>
      </c>
    </row>
    <row r="156" ht="22.5" customHeight="1">
      <c r="A156" s="9">
        <v>46054.0</v>
      </c>
      <c r="B156" s="8" t="s">
        <v>6</v>
      </c>
      <c r="C156" s="8" t="s">
        <v>6</v>
      </c>
      <c r="D156" s="8" t="s">
        <v>8</v>
      </c>
      <c r="E156" s="8">
        <v>769.91</v>
      </c>
      <c r="F156" s="6" t="str">
        <f t="shared" si="5"/>
        <v>February</v>
      </c>
    </row>
    <row r="157" ht="22.5" customHeight="1">
      <c r="A157" s="9">
        <v>46054.0</v>
      </c>
      <c r="B157" s="8" t="s">
        <v>9</v>
      </c>
      <c r="C157" s="8" t="s">
        <v>9</v>
      </c>
      <c r="D157" s="8" t="s">
        <v>8</v>
      </c>
      <c r="E157" s="8">
        <v>12.72</v>
      </c>
      <c r="F157" s="6" t="str">
        <f t="shared" si="5"/>
        <v>February</v>
      </c>
    </row>
    <row r="158" ht="22.5" customHeight="1">
      <c r="A158" s="9">
        <v>46058.0</v>
      </c>
      <c r="B158" s="8" t="s">
        <v>11</v>
      </c>
      <c r="C158" s="8" t="s">
        <v>13</v>
      </c>
      <c r="D158" s="8" t="s">
        <v>8</v>
      </c>
      <c r="E158" s="10"/>
      <c r="F158" s="6" t="str">
        <f t="shared" si="5"/>
        <v>February</v>
      </c>
    </row>
    <row r="159" ht="22.5" customHeight="1">
      <c r="A159" s="9">
        <v>46058.0</v>
      </c>
      <c r="B159" s="8" t="s">
        <v>9</v>
      </c>
      <c r="C159" s="8" t="s">
        <v>116</v>
      </c>
      <c r="D159" s="8" t="s">
        <v>8</v>
      </c>
      <c r="E159" s="8">
        <v>1.66</v>
      </c>
      <c r="F159" s="6" t="str">
        <f t="shared" si="5"/>
        <v>February</v>
      </c>
    </row>
    <row r="160" ht="22.5" customHeight="1">
      <c r="A160" s="9">
        <v>46070.0</v>
      </c>
      <c r="B160" s="8" t="s">
        <v>23</v>
      </c>
      <c r="C160" s="8" t="s">
        <v>117</v>
      </c>
      <c r="D160" s="8" t="s">
        <v>8</v>
      </c>
      <c r="E160" s="8">
        <v>13.24</v>
      </c>
      <c r="F160" s="6" t="str">
        <f t="shared" si="5"/>
        <v>February</v>
      </c>
    </row>
    <row r="161" ht="22.5" customHeight="1">
      <c r="A161" s="9">
        <v>46080.0</v>
      </c>
      <c r="B161" s="8" t="s">
        <v>60</v>
      </c>
      <c r="C161" s="8" t="s">
        <v>118</v>
      </c>
      <c r="D161" s="8" t="s">
        <v>8</v>
      </c>
      <c r="E161" s="8">
        <v>37.66</v>
      </c>
      <c r="F161" s="6" t="str">
        <f t="shared" si="5"/>
        <v>February</v>
      </c>
    </row>
    <row r="162" ht="22.5" customHeight="1">
      <c r="A162" s="9">
        <v>46070.0</v>
      </c>
      <c r="B162" s="8" t="s">
        <v>60</v>
      </c>
      <c r="C162" s="8" t="s">
        <v>119</v>
      </c>
      <c r="D162" s="8" t="s">
        <v>8</v>
      </c>
      <c r="E162" s="8">
        <v>20.87</v>
      </c>
      <c r="F162" s="6" t="str">
        <f t="shared" si="5"/>
        <v>February</v>
      </c>
    </row>
    <row r="163" ht="22.5" customHeight="1">
      <c r="A163" s="9">
        <v>46055.0</v>
      </c>
      <c r="B163" s="8" t="s">
        <v>60</v>
      </c>
      <c r="C163" s="8" t="s">
        <v>120</v>
      </c>
      <c r="D163" s="8" t="s">
        <v>8</v>
      </c>
      <c r="E163" s="8">
        <v>3.82</v>
      </c>
      <c r="F163" s="6" t="str">
        <f t="shared" si="5"/>
        <v>February</v>
      </c>
    </row>
    <row r="164" ht="22.5" customHeight="1">
      <c r="A164" s="9">
        <v>46056.0</v>
      </c>
      <c r="B164" s="8" t="s">
        <v>11</v>
      </c>
      <c r="C164" s="8" t="s">
        <v>20</v>
      </c>
      <c r="D164" s="8" t="s">
        <v>8</v>
      </c>
      <c r="E164" s="8">
        <f>2.5+6+2.11</f>
        <v>10.61</v>
      </c>
      <c r="F164" s="6" t="str">
        <f t="shared" si="5"/>
        <v>February</v>
      </c>
    </row>
    <row r="165" ht="22.5" customHeight="1">
      <c r="A165" s="9">
        <v>46056.0</v>
      </c>
      <c r="B165" s="8" t="s">
        <v>11</v>
      </c>
      <c r="C165" s="8" t="s">
        <v>121</v>
      </c>
      <c r="D165" s="8" t="s">
        <v>8</v>
      </c>
      <c r="E165" s="8">
        <f>1.32+4.14</f>
        <v>5.46</v>
      </c>
      <c r="F165" s="6" t="str">
        <f t="shared" si="5"/>
        <v>February</v>
      </c>
    </row>
    <row r="166" ht="22.5" customHeight="1">
      <c r="A166" s="9">
        <v>46057.0</v>
      </c>
      <c r="B166" s="8" t="s">
        <v>9</v>
      </c>
      <c r="C166" s="8" t="s">
        <v>122</v>
      </c>
      <c r="D166" s="8" t="s">
        <v>8</v>
      </c>
      <c r="E166" s="8">
        <v>35.99</v>
      </c>
      <c r="F166" s="6" t="str">
        <f t="shared" si="5"/>
        <v>February</v>
      </c>
    </row>
    <row r="167" ht="22.5" customHeight="1">
      <c r="A167" s="9">
        <v>46060.0</v>
      </c>
      <c r="B167" s="8" t="s">
        <v>11</v>
      </c>
      <c r="C167" s="8" t="s">
        <v>12</v>
      </c>
      <c r="D167" s="8" t="s">
        <v>8</v>
      </c>
      <c r="E167" s="8">
        <f>0.59+0.72</f>
        <v>1.31</v>
      </c>
      <c r="F167" s="6" t="str">
        <f t="shared" si="5"/>
        <v>February</v>
      </c>
    </row>
    <row r="168" ht="22.5" customHeight="1">
      <c r="A168" s="9">
        <v>46061.0</v>
      </c>
      <c r="B168" s="8" t="s">
        <v>11</v>
      </c>
      <c r="C168" s="8" t="s">
        <v>46</v>
      </c>
      <c r="D168" s="8" t="s">
        <v>8</v>
      </c>
      <c r="E168" s="8">
        <v>29.86</v>
      </c>
      <c r="F168" s="6" t="str">
        <f t="shared" si="5"/>
        <v>February</v>
      </c>
    </row>
    <row r="169" ht="22.5" customHeight="1">
      <c r="A169" s="9">
        <v>46061.0</v>
      </c>
      <c r="B169" s="8" t="s">
        <v>11</v>
      </c>
      <c r="C169" s="8" t="s">
        <v>123</v>
      </c>
      <c r="D169" s="8" t="s">
        <v>8</v>
      </c>
      <c r="E169" s="8">
        <v>0.73</v>
      </c>
      <c r="F169" s="6" t="str">
        <f t="shared" si="5"/>
        <v>February</v>
      </c>
    </row>
    <row r="170" ht="22.5" customHeight="1">
      <c r="A170" s="9">
        <v>46062.0</v>
      </c>
      <c r="B170" s="8" t="s">
        <v>11</v>
      </c>
      <c r="C170" s="8" t="s">
        <v>12</v>
      </c>
      <c r="D170" s="8" t="s">
        <v>8</v>
      </c>
      <c r="E170" s="8">
        <v>7.23</v>
      </c>
      <c r="F170" s="6" t="str">
        <f t="shared" si="5"/>
        <v>February</v>
      </c>
    </row>
    <row r="171" ht="22.5" customHeight="1">
      <c r="A171" s="9">
        <v>46062.0</v>
      </c>
      <c r="B171" s="8" t="s">
        <v>11</v>
      </c>
      <c r="C171" s="8" t="s">
        <v>20</v>
      </c>
      <c r="D171" s="8" t="s">
        <v>8</v>
      </c>
      <c r="E171" s="8">
        <f>2.26+5.08</f>
        <v>7.34</v>
      </c>
      <c r="F171" s="6" t="str">
        <f t="shared" si="5"/>
        <v>February</v>
      </c>
    </row>
    <row r="172" ht="22.5" customHeight="1">
      <c r="A172" s="9">
        <v>46064.0</v>
      </c>
      <c r="B172" s="8" t="s">
        <v>11</v>
      </c>
      <c r="C172" s="8" t="s">
        <v>124</v>
      </c>
      <c r="D172" s="8" t="s">
        <v>8</v>
      </c>
      <c r="E172" s="8">
        <v>1.278</v>
      </c>
      <c r="F172" s="6" t="str">
        <f t="shared" si="5"/>
        <v>February</v>
      </c>
    </row>
    <row r="173" ht="22.5" customHeight="1">
      <c r="A173" s="9">
        <v>46070.0</v>
      </c>
      <c r="B173" s="8" t="s">
        <v>60</v>
      </c>
      <c r="C173" s="8" t="s">
        <v>125</v>
      </c>
      <c r="D173" s="8" t="s">
        <v>8</v>
      </c>
      <c r="E173" s="8">
        <v>6.36</v>
      </c>
      <c r="F173" s="6" t="str">
        <f t="shared" si="5"/>
        <v>February</v>
      </c>
    </row>
    <row r="174" ht="22.5" customHeight="1">
      <c r="A174" s="9">
        <v>46070.0</v>
      </c>
      <c r="B174" s="8" t="s">
        <v>11</v>
      </c>
      <c r="C174" s="8" t="s">
        <v>12</v>
      </c>
      <c r="D174" s="8" t="s">
        <v>8</v>
      </c>
      <c r="E174" s="8">
        <v>9.4</v>
      </c>
      <c r="F174" s="6" t="str">
        <f t="shared" si="5"/>
        <v>February</v>
      </c>
    </row>
    <row r="175" ht="22.5" customHeight="1">
      <c r="A175" s="9">
        <v>46072.0</v>
      </c>
      <c r="B175" s="8" t="s">
        <v>6</v>
      </c>
      <c r="C175" s="8" t="s">
        <v>44</v>
      </c>
      <c r="D175" s="8" t="s">
        <v>8</v>
      </c>
      <c r="E175" s="8">
        <v>3.12</v>
      </c>
      <c r="F175" s="6" t="str">
        <f t="shared" si="5"/>
        <v>February</v>
      </c>
    </row>
    <row r="176" ht="22.5" customHeight="1">
      <c r="A176" s="9">
        <v>46073.0</v>
      </c>
      <c r="B176" s="8" t="s">
        <v>11</v>
      </c>
      <c r="C176" s="8" t="s">
        <v>126</v>
      </c>
      <c r="D176" s="8" t="s">
        <v>8</v>
      </c>
      <c r="E176" s="8">
        <f>2.29+1.06</f>
        <v>3.35</v>
      </c>
      <c r="F176" s="6" t="str">
        <f t="shared" si="5"/>
        <v>February</v>
      </c>
    </row>
    <row r="177" ht="22.5" customHeight="1">
      <c r="A177" s="9">
        <v>46075.0</v>
      </c>
      <c r="B177" s="8" t="s">
        <v>11</v>
      </c>
      <c r="C177" s="8" t="s">
        <v>19</v>
      </c>
      <c r="D177" s="8" t="s">
        <v>8</v>
      </c>
      <c r="E177" s="8">
        <v>11.05</v>
      </c>
      <c r="F177" s="6" t="str">
        <f t="shared" si="5"/>
        <v>February</v>
      </c>
    </row>
    <row r="178" ht="22.5" customHeight="1">
      <c r="A178" s="9">
        <v>46075.0</v>
      </c>
      <c r="B178" s="8" t="s">
        <v>11</v>
      </c>
      <c r="C178" s="8" t="s">
        <v>20</v>
      </c>
      <c r="D178" s="8" t="s">
        <v>8</v>
      </c>
      <c r="E178" s="8">
        <v>31.19</v>
      </c>
      <c r="F178" s="6" t="str">
        <f t="shared" si="5"/>
        <v>February</v>
      </c>
    </row>
    <row r="179" ht="22.5" customHeight="1">
      <c r="A179" s="9">
        <v>46075.0</v>
      </c>
      <c r="B179" s="8" t="s">
        <v>60</v>
      </c>
      <c r="C179" s="8" t="s">
        <v>127</v>
      </c>
      <c r="D179" s="8" t="s">
        <v>8</v>
      </c>
      <c r="E179" s="8">
        <v>20.13</v>
      </c>
      <c r="F179" s="6" t="str">
        <f t="shared" si="5"/>
        <v>February</v>
      </c>
    </row>
    <row r="180" ht="22.5" customHeight="1">
      <c r="A180" s="9">
        <v>46078.0</v>
      </c>
      <c r="B180" s="8" t="s">
        <v>11</v>
      </c>
      <c r="C180" s="8" t="s">
        <v>12</v>
      </c>
      <c r="D180" s="8" t="s">
        <v>8</v>
      </c>
      <c r="E180" s="8">
        <v>5.0</v>
      </c>
      <c r="F180" s="6" t="str">
        <f t="shared" si="5"/>
        <v>February</v>
      </c>
    </row>
    <row r="181" ht="22.5" customHeight="1">
      <c r="A181" s="9">
        <v>46076.0</v>
      </c>
      <c r="B181" s="8" t="s">
        <v>60</v>
      </c>
      <c r="C181" s="8" t="s">
        <v>128</v>
      </c>
      <c r="D181" s="8" t="s">
        <v>8</v>
      </c>
      <c r="E181" s="8">
        <v>8.99</v>
      </c>
      <c r="F181" s="6" t="str">
        <f t="shared" si="5"/>
        <v>February</v>
      </c>
    </row>
    <row r="182" ht="22.5" customHeight="1">
      <c r="A182" s="9"/>
      <c r="B182" s="8"/>
      <c r="C182" s="8"/>
      <c r="D182" s="8" t="s">
        <v>8</v>
      </c>
      <c r="E182" s="8"/>
      <c r="F182" s="6" t="str">
        <f t="shared" si="5"/>
        <v>December</v>
      </c>
    </row>
    <row r="183" ht="22.5" customHeight="1">
      <c r="A183" s="9">
        <v>46082.0</v>
      </c>
      <c r="B183" s="8" t="s">
        <v>15</v>
      </c>
      <c r="C183" s="8" t="s">
        <v>129</v>
      </c>
      <c r="D183" s="8" t="s">
        <v>8</v>
      </c>
      <c r="E183" s="8">
        <v>2.5</v>
      </c>
      <c r="F183" s="6" t="str">
        <f t="shared" si="5"/>
        <v>March</v>
      </c>
    </row>
    <row r="184" ht="22.5" customHeight="1">
      <c r="A184" s="9"/>
      <c r="B184" s="8"/>
      <c r="C184" s="8"/>
      <c r="D184" s="8" t="s">
        <v>8</v>
      </c>
      <c r="E184" s="8"/>
      <c r="F184" s="6" t="str">
        <f t="shared" si="5"/>
        <v>December</v>
      </c>
    </row>
    <row r="185" ht="22.5" customHeight="1">
      <c r="A185" s="9"/>
      <c r="B185" s="8"/>
      <c r="C185" s="8"/>
      <c r="D185" s="8" t="s">
        <v>8</v>
      </c>
      <c r="E185" s="8"/>
      <c r="F185" s="6" t="str">
        <f t="shared" si="5"/>
        <v>December</v>
      </c>
    </row>
    <row r="186" ht="22.5" customHeight="1">
      <c r="A186" s="9"/>
      <c r="B186" s="8"/>
      <c r="C186" s="8"/>
      <c r="D186" s="8" t="s">
        <v>8</v>
      </c>
      <c r="E186" s="8"/>
      <c r="F186" s="6" t="str">
        <f t="shared" si="5"/>
        <v>December</v>
      </c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  <row r="1001">
      <c r="A1001" s="12"/>
    </row>
    <row r="1002">
      <c r="A1002" s="12"/>
    </row>
    <row r="1003">
      <c r="A1003" s="12"/>
    </row>
  </sheetData>
  <conditionalFormatting sqref="D1:D1003">
    <cfRule type="containsText" dxfId="5" priority="1" operator="containsText" text="Expense">
      <formula>NOT(ISERROR(SEARCH(("Expense"),(D1))))</formula>
    </cfRule>
  </conditionalFormatting>
  <dataValidations>
    <dataValidation type="custom" allowBlank="1" showDropDown="1" sqref="A2:A186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9.5"/>
  </cols>
  <sheetData>
    <row r="1">
      <c r="A1" s="13" t="s">
        <v>130</v>
      </c>
      <c r="B1" s="14" t="s">
        <v>131</v>
      </c>
    </row>
    <row r="2">
      <c r="A2" s="15"/>
      <c r="B2" s="15"/>
      <c r="M2" s="16"/>
      <c r="N2" s="17"/>
    </row>
    <row r="3">
      <c r="A3" s="15" t="s">
        <v>1</v>
      </c>
      <c r="B3" s="15" t="s">
        <v>4</v>
      </c>
      <c r="M3" s="16"/>
      <c r="N3" s="17"/>
    </row>
    <row r="4">
      <c r="A4" s="18" t="s">
        <v>11</v>
      </c>
      <c r="B4" s="19">
        <f>SUMIFS(Transactions!E:E, Transactions!B:B, A4, Transactions!F:F, $B$1)
</f>
        <v>123.808</v>
      </c>
      <c r="M4" s="16"/>
      <c r="N4" s="17"/>
    </row>
    <row r="5">
      <c r="A5" s="18" t="s">
        <v>6</v>
      </c>
      <c r="B5" s="19">
        <f>SUMIFS(Transactions!E:E, Transactions!B:B, A5, Transactions!F:F, $B$1)
</f>
        <v>773.03</v>
      </c>
      <c r="M5" s="16"/>
      <c r="N5" s="16"/>
    </row>
    <row r="6">
      <c r="A6" s="18" t="s">
        <v>15</v>
      </c>
      <c r="B6" s="19">
        <f>SUMIFS(Transactions!E:E, Transactions!B:B, A6, Transactions!F:F, $B$1)
</f>
        <v>0</v>
      </c>
      <c r="M6" s="16"/>
      <c r="N6" s="16"/>
    </row>
    <row r="7">
      <c r="A7" s="14" t="s">
        <v>21</v>
      </c>
      <c r="B7" s="19">
        <f>SUMIFS(Transactions!E:E, Transactions!B:B, A7, Transactions!F:F, $B$1)
</f>
        <v>0</v>
      </c>
      <c r="M7" s="16"/>
      <c r="N7" s="17"/>
    </row>
    <row r="8">
      <c r="A8" s="14" t="s">
        <v>18</v>
      </c>
      <c r="B8" s="19">
        <f>SUMIFS(Transactions!E:E, Transactions!B:B, A8, Transactions!F:F, $B$1)
</f>
        <v>0</v>
      </c>
      <c r="M8" s="16"/>
      <c r="N8" s="17"/>
    </row>
    <row r="9">
      <c r="A9" s="18" t="s">
        <v>9</v>
      </c>
      <c r="B9" s="19">
        <f>SUMIFS(Transactions!E:E, Transactions!B:B, A9, Transactions!F:F, $B$1)
</f>
        <v>50.37</v>
      </c>
      <c r="M9" s="16"/>
      <c r="N9" s="17"/>
    </row>
    <row r="10">
      <c r="A10" s="14" t="s">
        <v>23</v>
      </c>
      <c r="B10" s="19">
        <f>SUMIFS(Transactions!E:E, Transactions!B:B, A10, Transactions!F:F, $B$1)
</f>
        <v>13.24</v>
      </c>
      <c r="M10" s="16"/>
      <c r="N10" s="17"/>
    </row>
    <row r="11">
      <c r="A11" s="18" t="s">
        <v>31</v>
      </c>
      <c r="B11" s="19">
        <f>SUMIFS(Transactions!E:E, Transactions!B:B, A11, Transactions!F:F, $B$1)
</f>
        <v>0</v>
      </c>
      <c r="M11" s="16"/>
      <c r="N11" s="17"/>
    </row>
    <row r="12">
      <c r="A12" s="14" t="s">
        <v>60</v>
      </c>
      <c r="B12" s="19">
        <f>SUMIFS(Transactions!E:E, Transactions!B:B, A12, Transactions!F:F, $B$1)
</f>
        <v>97.83</v>
      </c>
      <c r="M12" s="16"/>
      <c r="N12" s="17"/>
    </row>
    <row r="13">
      <c r="M13" s="16"/>
      <c r="N13" s="17"/>
    </row>
    <row r="15">
      <c r="A15" s="14" t="s">
        <v>132</v>
      </c>
      <c r="B15" s="20">
        <f>SUM(B2:B12)</f>
        <v>1058.278</v>
      </c>
    </row>
    <row r="21">
      <c r="A21" s="13"/>
    </row>
    <row r="22">
      <c r="A22" s="15"/>
      <c r="B22" s="15"/>
    </row>
    <row r="23">
      <c r="A23" s="15"/>
      <c r="B23" s="15"/>
    </row>
    <row r="24">
      <c r="A24" s="18"/>
      <c r="B24" s="19"/>
    </row>
    <row r="25">
      <c r="A25" s="18"/>
      <c r="B25" s="19"/>
    </row>
    <row r="26">
      <c r="A26" s="18"/>
      <c r="B26" s="19"/>
    </row>
    <row r="27">
      <c r="B27" s="19"/>
    </row>
    <row r="28">
      <c r="B28" s="18"/>
    </row>
    <row r="29">
      <c r="A29" s="18"/>
      <c r="B29" s="18"/>
    </row>
    <row r="30">
      <c r="B30" s="18"/>
    </row>
    <row r="31">
      <c r="A31" s="18"/>
      <c r="B31" s="18"/>
    </row>
    <row r="32">
      <c r="A32" s="18"/>
      <c r="B32" s="18"/>
    </row>
    <row r="33">
      <c r="A33" s="18"/>
      <c r="B33" s="18"/>
    </row>
    <row r="34">
      <c r="A34" s="18"/>
      <c r="B34" s="18"/>
    </row>
  </sheetData>
  <dataValidations>
    <dataValidation type="list" allowBlank="1" showErrorMessage="1" sqref="B1">
      <formula1>"August,September,October,November,December,January,February,March ,April,May,June ,July"</formula1>
    </dataValidation>
  </dataValidations>
  <drawing r:id="rId1"/>
</worksheet>
</file>